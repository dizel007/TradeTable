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<sst xmlns="http://schemas.openxmlformats.org/spreadsheetml/2006/main" count="20510" uniqueCount="11355">
  <si>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</si>
  <si>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</si>
  <si>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</si>
  <si>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</si>
  <si>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</si>
  <si>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</si>
  <si>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</si>
  <si>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</si>
  <si>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</si>
  <si>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</si>
  <si>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</si>
  <si>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</si>
  <si>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</si>
  <si>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</si>
  <si>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</si>
  <si>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</si>
  <si>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</si>
  <si>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</si>
  <si>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</si>
  <si>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</si>
  <si>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</si>
  <si>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</si>
  <si>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</si>
  <si>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</si>
  <si>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</si>
  <si>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</si>
  <si>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</si>
  <si>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</si>
  <si>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</si>
  <si>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</si>
  <si>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</si>
  <si>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</si>
  <si>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</si>
  <si>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</si>
  <si>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</si>
  <si>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</si>
  <si>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</si>
  <si>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</si>
  <si>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</si>
  <si>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</si>
  <si>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</si>
  <si>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</si>
  <si>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</si>
  <si>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</si>
  <si>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</si>
  <si>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</si>
  <si>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</si>
  <si>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</si>
  <si>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</si>
  <si>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</si>
  <si>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</si>
  <si>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</si>
  <si>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</si>
  <si>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</si>
  <si>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</si>
  <si>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</si>
  <si>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</si>
  <si>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</si>
  <si>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</si>
  <si>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</si>
  <si>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</si>
  <si>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</si>
  <si>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</si>
  <si>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</si>
  <si>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</si>
  <si>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</si>
  <si>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</si>
  <si>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</si>
  <si>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</si>
  <si>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</si>
  <si>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</si>
  <si>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</si>
  <si>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</si>
  <si>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</si>
  <si>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</si>
  <si>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</si>
  <si>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</si>
  <si>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</si>
  <si>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</si>
  <si>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</si>
  <si>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</si>
  <si>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</si>
  <si>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</si>
  <si>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</si>
  <si>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</si>
  <si>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</si>
  <si>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</si>
  <si>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</si>
  <si>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</si>
  <si>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</si>
  <si>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</si>
  <si>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</si>
  <si>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</si>
  <si>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</si>
  <si>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</si>
  <si>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</si>
  <si>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</si>
  <si>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</si>
  <si>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</si>
  <si>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</si>
  <si>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</si>
  <si>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</si>
  <si>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</si>
  <si>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</si>
  <si>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</si>
  <si>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</si>
  <si>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</si>
  <si>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</si>
  <si>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</si>
  <si>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</si>
  <si>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</si>
  <si>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</si>
  <si>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</si>
  <si>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</si>
  <si>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</si>
  <si>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</si>
  <si>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</si>
  <si>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</si>
  <si>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</si>
  <si>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</si>
  <si>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</si>
  <si>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</si>
  <si>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</si>
  <si>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</si>
  <si>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</si>
  <si>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</si>
  <si>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</si>
  <si>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</si>
  <si>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</si>
  <si>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</si>
  <si>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</si>
  <si>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</si>
  <si>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</si>
  <si>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</si>
  <si>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</si>
  <si>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</si>
  <si>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</si>
  <si>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</si>
  <si>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</si>
  <si>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</si>
  <si>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</si>
  <si>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</si>
  <si>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</si>
  <si>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</si>
  <si>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</si>
  <si>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</si>
  <si>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</si>
  <si>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</si>
  <si>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</si>
  <si>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</si>
  <si>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</si>
  <si>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</si>
  <si>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</si>
  <si>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</si>
  <si>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</si>
  <si>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</si>
  <si>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</si>
  <si>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</si>
  <si>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</si>
  <si>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</si>
  <si>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</si>
  <si>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</si>
  <si>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</si>
  <si>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</si>
  <si>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</si>
  <si>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</si>
  <si>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</si>
  <si>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</si>
  <si>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</si>
  <si>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</si>
  <si>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</si>
  <si>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</si>
  <si>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</si>
  <si>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</si>
  <si>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</si>
  <si>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</si>
  <si>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</si>
  <si>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</si>
  <si>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</si>
  <si>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</si>
  <si>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</si>
  <si>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</si>
  <si>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</si>
  <si>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</si>
  <si>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</si>
  <si>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</si>
  <si>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</si>
  <si>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</si>
  <si>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</si>
  <si>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</si>
  <si>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</si>
  <si>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</si>
  <si>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</si>
  <si>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</si>
  <si>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</si>
  <si>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</si>
  <si>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</si>
  <si>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</si>
  <si>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</si>
  <si>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</si>
  <si>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</si>
  <si>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</si>
  <si>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</si>
  <si>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</si>
  <si>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</si>
  <si>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</si>
  <si>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</si>
  <si>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</si>
  <si>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</si>
  <si>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</si>
  <si>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</si>
  <si>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</si>
  <si>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</si>
  <si>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</si>
  <si>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</si>
  <si>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</si>
  <si>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</si>
  <si>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</si>
  <si>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</si>
  <si>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</si>
  <si>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</si>
  <si>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</si>
  <si>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</si>
  <si>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</si>
  <si>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</si>
  <si>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</si>
  <si>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</si>
  <si>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</si>
  <si>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</si>
  <si>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</si>
  <si>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</si>
  <si>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</si>
  <si>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</si>
  <si>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</si>
  <si>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</si>
  <si>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</si>
  <si>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</si>
  <si>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</si>
  <si>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</si>
  <si>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</si>
  <si>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</si>
  <si>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</si>
  <si>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</si>
  <si>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</si>
  <si>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</si>
  <si>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</si>
  <si>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</si>
  <si>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</si>
  <si>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</si>
  <si>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</si>
  <si>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</si>
  <si>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</si>
  <si>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</si>
  <si>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</si>
  <si>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</si>
  <si>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</si>
  <si>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</si>
  <si>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</si>
  <si>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</si>
  <si>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</si>
  <si>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</si>
  <si>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</si>
  <si>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</si>
  <si>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</si>
  <si>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</si>
  <si>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</si>
  <si>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</si>
  <si>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</si>
  <si>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</si>
  <si>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</si>
  <si>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</si>
  <si>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</si>
  <si>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</si>
  <si>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</si>
  <si>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</si>
  <si>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</si>
  <si>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</si>
  <si>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</si>
  <si>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</si>
  <si>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</si>
  <si>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</si>
  <si>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</si>
  <si>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</si>
  <si>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</si>
  <si>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</si>
  <si>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</si>
  <si>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</si>
  <si>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</si>
  <si>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</si>
  <si>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</si>
  <si>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</si>
  <si>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</si>
  <si>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</si>
  <si>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</si>
  <si>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</si>
  <si>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</si>
  <si>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</si>
  <si>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</si>
  <si>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</si>
  <si>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</si>
  <si>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</si>
  <si>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</si>
  <si>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</si>
  <si>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</si>
  <si>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</si>
  <si>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</si>
  <si>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</si>
  <si>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</si>
  <si>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</si>
  <si>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</si>
  <si>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</si>
  <si>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</si>
  <si>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</si>
  <si>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</si>
  <si>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</si>
  <si>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</si>
  <si>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</si>
  <si>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</si>
  <si>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</si>
  <si>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</si>
  <si>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</si>
  <si>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</si>
  <si>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</si>
  <si>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</si>
  <si>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</si>
  <si>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</si>
  <si>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</si>
  <si>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</si>
  <si>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</si>
  <si>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</si>
  <si>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</si>
  <si>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</si>
  <si>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</si>
  <si>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</si>
  <si>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</si>
  <si>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</si>
  <si>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</si>
  <si>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</si>
  <si>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</si>
  <si>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</si>
  <si>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</si>
  <si>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</si>
  <si>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</si>
  <si>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</si>
  <si>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</si>
  <si>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</si>
  <si>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</si>
  <si>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</si>
  <si>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</si>
  <si>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</si>
  <si>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</si>
  <si>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</si>
  <si>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</si>
  <si>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</si>
  <si>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</si>
  <si>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</si>
  <si>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</si>
  <si>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</si>
  <si>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</si>
  <si>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</si>
  <si>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</si>
  <si>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</si>
  <si>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</si>
  <si>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</si>
  <si>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</si>
  <si>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</si>
  <si>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</si>
  <si>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</si>
  <si>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</si>
  <si>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</si>
  <si>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</si>
  <si>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</si>
  <si>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</si>
  <si>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</si>
  <si>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</si>
  <si>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</si>
  <si>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</si>
  <si>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</si>
  <si>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</si>
  <si>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</si>
  <si>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</si>
  <si>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</si>
  <si>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</si>
  <si>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</si>
  <si>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</si>
  <si>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</si>
  <si>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</si>
  <si>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</si>
  <si>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</si>
  <si>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</si>
  <si>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</si>
  <si>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</si>
  <si>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</si>
  <si>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</si>
  <si>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</si>
  <si>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</si>
  <si>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</si>
  <si>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</si>
  <si>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</si>
  <si>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</si>
  <si>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</si>
  <si>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</si>
  <si>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</si>
  <si>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</si>
  <si>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</si>
  <si>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</si>
  <si>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</si>
  <si>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</si>
  <si>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</si>
  <si>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</si>
  <si>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</si>
  <si>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</si>
  <si>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</si>
  <si>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</si>
  <si>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</si>
  <si>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</si>
  <si>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</si>
  <si>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</si>
  <si>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</si>
  <si>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</si>
  <si>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</si>
  <si>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</si>
  <si>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</si>
  <si>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</si>
  <si>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</si>
  <si>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</si>
  <si>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</si>
  <si>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</si>
  <si>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</si>
  <si>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</si>
  <si>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</si>
  <si>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</si>
  <si>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</si>
  <si>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</si>
  <si>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</si>
  <si>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</si>
  <si>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</si>
  <si>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</si>
  <si>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</si>
  <si>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</si>
  <si>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</si>
  <si>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</si>
  <si>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</si>
  <si>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</si>
  <si>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</si>
  <si>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</si>
  <si>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</si>
  <si>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</si>
  <si>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</si>
  <si>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</si>
  <si>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</si>
  <si>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</si>
  <si>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</si>
  <si>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</si>
  <si>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</si>
  <si>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</si>
  <si>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</si>
  <si>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</si>
  <si>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</si>
  <si>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</si>
  <si>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</si>
  <si>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</si>
  <si>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</si>
  <si>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</si>
  <si>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</si>
  <si>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</si>
  <si>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</si>
  <si>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</si>
  <si>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</si>
  <si>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</si>
  <si>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</si>
  <si>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</si>
  <si>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</si>
  <si>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</si>
  <si>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</si>
  <si>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</si>
  <si>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</si>
  <si>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</si>
  <si>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</si>
  <si>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</si>
  <si>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</si>
  <si>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</si>
  <si>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</si>
  <si>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</si>
  <si>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</si>
  <si>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</si>
  <si>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</si>
  <si>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</si>
  <si>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</si>
  <si>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</si>
  <si>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</si>
  <si>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</si>
  <si>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</si>
  <si>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</si>
  <si>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</si>
  <si>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</si>
  <si>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</si>
  <si>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</si>
  <si>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</si>
  <si>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</si>
  <si>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</si>
  <si>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</si>
  <si>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</si>
  <si>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</si>
  <si>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</si>
  <si>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</si>
  <si>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</si>
  <si>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</si>
  <si>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</si>
  <si>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</si>
  <si>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</si>
  <si>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</si>
  <si>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</si>
  <si>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</si>
  <si>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</si>
  <si>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</si>
  <si>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</si>
  <si>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</si>
  <si>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</si>
  <si>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</si>
  <si>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</si>
  <si>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</si>
  <si>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</si>
  <si>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</si>
  <si>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</si>
  <si>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</si>
  <si>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</si>
  <si>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</si>
  <si>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</si>
  <si>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</si>
  <si>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</si>
  <si>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</si>
  <si>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</si>
  <si>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</si>
  <si>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</si>
  <si>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</si>
  <si>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</si>
  <si>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</si>
  <si>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</si>
  <si>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</si>
  <si>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</si>
  <si>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</si>
  <si>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</si>
  <si>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</si>
  <si>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</si>
  <si>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</si>
  <si>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</si>
  <si>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</si>
  <si>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</si>
  <si>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</si>
  <si>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</si>
  <si>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</si>
  <si>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</si>
  <si>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</si>
  <si>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</si>
  <si>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</si>
  <si>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</si>
  <si>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</si>
  <si>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</si>
  <si>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</si>
  <si>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</si>
  <si>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</si>
  <si>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</si>
  <si>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</si>
  <si>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</si>
  <si>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</si>
  <si>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</si>
  <si>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</si>
  <si>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</si>
  <si>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</si>
  <si>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</si>
  <si>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</si>
  <si>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</si>
  <si>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</si>
  <si>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</si>
  <si>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</si>
  <si>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</si>
  <si>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</si>
  <si>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</si>
  <si>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</si>
  <si>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</si>
  <si>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</si>
  <si>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</si>
  <si>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</si>
  <si>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</si>
  <si>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</si>
  <si>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</si>
  <si>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</si>
  <si>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</si>
  <si>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</si>
  <si>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</si>
  <si>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</si>
  <si>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</si>
  <si>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</si>
  <si>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</si>
  <si>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</si>
  <si>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</si>
  <si>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</si>
  <si>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</si>
  <si>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</si>
  <si>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</si>
  <si>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</si>
  <si>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</si>
  <si>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</si>
  <si>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</si>
  <si>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</si>
  <si>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</si>
  <si>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</si>
  <si>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</si>
  <si>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</si>
  <si>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</si>
  <si>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</si>
  <si>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</si>
  <si>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</si>
  <si>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</si>
  <si>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</si>
  <si>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</si>
  <si>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</si>
  <si>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</si>
  <si>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</si>
  <si>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</si>
  <si>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</si>
  <si>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</si>
  <si>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</si>
  <si>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</si>
  <si>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</si>
  <si>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</si>
  <si>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</si>
  <si>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</si>
  <si>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</si>
  <si>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</si>
  <si>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</si>
  <si>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</si>
  <si>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</si>
  <si>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</si>
  <si>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</si>
  <si>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</si>
  <si>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</si>
  <si>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</si>
  <si>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</si>
  <si>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</si>
  <si>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</si>
  <si>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</si>
  <si>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</si>
  <si>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</si>
  <si>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</si>
  <si>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</si>
  <si>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</si>
  <si>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</si>
  <si>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</si>
  <si>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</si>
  <si>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</si>
  <si>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</si>
  <si>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</si>
  <si>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</si>
  <si>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</si>
  <si>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</si>
  <si>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</si>
  <si>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</si>
  <si>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</si>
  <si>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</si>
  <si>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</si>
  <si>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</si>
  <si>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</si>
  <si>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</si>
  <si>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</si>
  <si>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</si>
  <si>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</si>
  <si>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</si>
  <si>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</si>
  <si>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</si>
  <si>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</si>
  <si>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</si>
  <si>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</si>
  <si>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</si>
  <si>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</si>
  <si>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</si>
  <si>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</si>
  <si>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</si>
  <si>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</si>
  <si>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</si>
  <si>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</si>
  <si>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</si>
  <si>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</si>
  <si>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</si>
  <si>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</si>
  <si>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</si>
  <si>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</si>
  <si>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</si>
  <si>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</si>
  <si>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</si>
  <si>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</si>
  <si>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</si>
  <si>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</si>
  <si>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</si>
  <si>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</si>
  <si>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</si>
  <si>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</si>
  <si>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</si>
  <si>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</si>
  <si>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</si>
  <si>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</si>
  <si>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</si>
  <si>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</si>
  <si>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</si>
  <si>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</si>
  <si>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</si>
  <si>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</si>
  <si>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</si>
  <si>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</si>
  <si>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</si>
  <si>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</si>
  <si>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</si>
  <si>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</si>
  <si>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</si>
  <si>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</si>
  <si>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</si>
  <si>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</si>
  <si>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</si>
  <si>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</si>
  <si>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</si>
  <si>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</si>
  <si>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</si>
  <si>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</si>
  <si>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</si>
  <si>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</si>
  <si>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</si>
  <si>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</si>
  <si>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</si>
  <si>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</si>
  <si>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</si>
  <si>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</si>
  <si>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</si>
  <si>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</si>
  <si>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</si>
  <si>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</si>
  <si>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</si>
  <si>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</si>
  <si>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</si>
  <si>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</si>
  <si>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</si>
  <si>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</si>
  <si>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</si>
  <si>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</si>
  <si>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</si>
  <si>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</si>
  <si>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</si>
  <si>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</si>
  <si>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</si>
  <si>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</si>
  <si>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</si>
  <si>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</si>
  <si>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</si>
  <si>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</si>
  <si>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</si>
  <si>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</si>
  <si>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</si>
  <si>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</si>
  <si>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</si>
  <si>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</si>
  <si>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</si>
  <si>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</si>
  <si>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</si>
  <si>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</si>
  <si>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</si>
  <si>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</si>
  <si>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</si>
  <si>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</si>
  <si>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</si>
  <si>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</si>
  <si>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</si>
  <si>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</si>
  <si>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</si>
  <si>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</si>
  <si>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</si>
  <si>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</si>
  <si>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</si>
  <si>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</si>
  <si>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</si>
  <si>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</si>
  <si>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</si>
  <si>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</si>
  <si>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</si>
  <si>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</si>
  <si>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</si>
  <si>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</si>
  <si>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</si>
  <si>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</si>
  <si>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</si>
  <si>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</si>
  <si>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</si>
  <si>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</si>
  <si>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</si>
  <si>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</si>
  <si>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</si>
  <si>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</si>
  <si>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</si>
  <si>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</si>
  <si>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</si>
  <si>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</si>
  <si>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</si>
  <si>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</si>
  <si>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</si>
  <si>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</si>
  <si>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</si>
  <si>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</si>
  <si>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</si>
  <si>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</si>
  <si>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</si>
  <si>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</si>
  <si>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</si>
  <si>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</si>
  <si>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</si>
  <si>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</si>
  <si>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</si>
  <si>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</si>
  <si>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</si>
  <si>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</si>
  <si>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</si>
  <si>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</si>
  <si>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</si>
  <si>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</si>
  <si>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</si>
  <si>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</si>
  <si>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</si>
  <si>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</si>
  <si>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</si>
  <si>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</si>
  <si>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</si>
  <si>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</si>
  <si>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</si>
  <si>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</si>
  <si>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</si>
  <si>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</si>
  <si>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</si>
  <si>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</si>
  <si>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</si>
  <si>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</si>
  <si>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</si>
  <si>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</si>
  <si>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</si>
  <si>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</si>
  <si>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</si>
  <si>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</si>
  <si>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</si>
  <si>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</si>
  <si>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</si>
  <si>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</si>
  <si>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</si>
  <si>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</si>
  <si>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</si>
  <si>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</si>
  <si>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</si>
  <si>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</si>
  <si>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</si>
  <si>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</si>
  <si>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</si>
  <si>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</si>
  <si>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</si>
  <si>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</si>
  <si>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</si>
  <si>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</si>
  <si>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</si>
  <si>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</si>
  <si>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</si>
  <si>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</si>
  <si>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</si>
  <si>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</si>
  <si>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</si>
  <si>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</si>
  <si>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</si>
  <si>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</si>
  <si>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</si>
  <si>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</si>
  <si>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</si>
  <si>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</si>
  <si>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</si>
  <si>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</si>
  <si>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</si>
  <si>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</si>
  <si>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</si>
  <si>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</si>
  <si>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</si>
  <si>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</si>
  <si>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</si>
  <si>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</si>
  <si>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</si>
  <si>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</si>
  <si>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</si>
  <si>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</si>
  <si>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</si>
  <si>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</si>
  <si>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</si>
  <si>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</si>
  <si>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</si>
  <si>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</si>
  <si>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</si>
  <si>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</si>
  <si>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</si>
  <si>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</si>
  <si>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</si>
  <si>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</si>
  <si>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</si>
  <si>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</si>
  <si>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</si>
  <si>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</si>
  <si>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</si>
  <si>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</si>
  <si>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</si>
  <si>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</si>
  <si>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</si>
  <si>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</si>
  <si>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</si>
  <si>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</si>
  <si>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</si>
  <si>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</si>
  <si>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</si>
  <si>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</si>
  <si>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</si>
  <si>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</si>
  <si>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</si>
  <si>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</si>
  <si>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</si>
  <si>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</si>
  <si>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</si>
  <si>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</si>
  <si>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</si>
  <si>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</si>
  <si>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</si>
  <si>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</si>
  <si>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</si>
  <si>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</si>
  <si>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</si>
  <si>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</si>
  <si>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</si>
  <si>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</si>
  <si>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</si>
  <si>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</si>
  <si>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</si>
  <si>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</si>
  <si>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</si>
  <si>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</si>
  <si>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</si>
  <si>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</si>
  <si>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</si>
  <si>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</si>
  <si>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</si>
  <si>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</si>
  <si>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</si>
  <si>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</si>
  <si>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</si>
  <si>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</si>
  <si>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</si>
  <si>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</si>
  <si>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</si>
  <si>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</si>
  <si>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</si>
  <si>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</si>
  <si>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</si>
  <si>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</si>
  <si>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</si>
  <si>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</si>
  <si>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</si>
  <si>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</si>
  <si>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</si>
  <si>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</si>
  <si>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</si>
  <si>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</si>
  <si>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</si>
  <si>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</si>
  <si>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</si>
  <si>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</si>
  <si>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</si>
  <si>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</si>
  <si>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</si>
  <si>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</si>
  <si>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</si>
  <si>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</si>
  <si>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</si>
  <si>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</si>
  <si>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</si>
  <si>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</si>
  <si>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</si>
  <si>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</si>
  <si>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</si>
  <si>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</si>
  <si>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</si>
  <si>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</si>
  <si>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</si>
  <si>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</si>
  <si>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</si>
  <si>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</si>
  <si>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</si>
  <si>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</si>
  <si>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</si>
  <si>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</si>
  <si>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</si>
  <si>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</si>
  <si>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</si>
  <si>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</si>
  <si>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</si>
  <si>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</si>
  <si>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</si>
  <si>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</si>
  <si>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</si>
  <si>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</si>
  <si>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</si>
  <si>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</si>
  <si>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</si>
  <si>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</si>
  <si>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</si>
  <si>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</si>
  <si>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</si>
  <si>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</si>
  <si>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</si>
  <si>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</si>
  <si>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</si>
  <si>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</si>
  <si>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</si>
  <si>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</si>
  <si>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</si>
  <si>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</si>
  <si>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</si>
  <si>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</si>
  <si>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</si>
  <si>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</si>
  <si>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</si>
  <si>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</si>
  <si>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</si>
  <si>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</si>
  <si>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</si>
  <si>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</si>
  <si>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</si>
  <si>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</si>
  <si>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</si>
  <si>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</si>
  <si>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</si>
  <si>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</si>
  <si>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</si>
  <si>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</si>
  <si>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</si>
  <si>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</si>
  <si>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</si>
  <si>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</si>
  <si>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</si>
  <si>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</si>
  <si>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</si>
  <si>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</si>
  <si>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</si>
  <si>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</si>
  <si>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</si>
  <si>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</si>
  <si>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</si>
  <si>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</si>
  <si>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</si>
  <si>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</si>
  <si>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</si>
  <si>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</si>
  <si>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</si>
  <si>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</si>
  <si>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</si>
  <si>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</si>
  <si>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</si>
  <si>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</si>
  <si>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</si>
  <si>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</si>
  <si>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</si>
  <si>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</si>
  <si>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</si>
  <si>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</si>
  <si>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</si>
  <si>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</si>
  <si>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</si>
  <si>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</si>
  <si>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</si>
  <si>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</si>
  <si>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</si>
  <si>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</si>
  <si>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</si>
  <si>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</si>
  <si>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</si>
  <si>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</si>
  <si>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</si>
  <si>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</si>
  <si>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</si>
  <si>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</si>
  <si>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</si>
  <si>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</si>
  <si>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</si>
  <si>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</si>
  <si>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</si>
  <si>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</si>
  <si>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</si>
  <si>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</si>
  <si>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</si>
  <si>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</si>
  <si>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</si>
  <si>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</si>
  <si>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</si>
  <si>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</si>
  <si>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</si>
  <si>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</si>
  <si>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</si>
  <si>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</si>
  <si>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</si>
  <si>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</si>
  <si>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</si>
  <si>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</si>
  <si>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</si>
  <si>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</si>
  <si>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</si>
  <si>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</si>
  <si>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</si>
  <si>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</si>
  <si>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</si>
  <si>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</si>
  <si>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</si>
  <si>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</si>
  <si>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</si>
  <si>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</si>
  <si>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</si>
  <si>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</si>
  <si>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</si>
  <si>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</si>
  <si>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</si>
  <si>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</si>
  <si>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</si>
  <si>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</si>
  <si>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</si>
  <si>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</si>
  <si>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</si>
  <si>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</si>
  <si>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</si>
  <si>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</si>
  <si>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</si>
  <si>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</si>
  <si>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</si>
  <si>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</si>
  <si>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</si>
  <si>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</si>
  <si>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</si>
  <si>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</si>
  <si>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</si>
  <si>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</si>
  <si>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</si>
  <si>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</si>
  <si>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</si>
  <si>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</si>
  <si>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</si>
  <si>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</si>
  <si>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</si>
  <si>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</si>
  <si>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</si>
  <si>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</si>
  <si>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</si>
  <si>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</si>
  <si>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</si>
  <si>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</si>
  <si>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</si>
  <si>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</si>
  <si>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</si>
  <si>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</si>
  <si>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</si>
  <si>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</si>
  <si>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</si>
  <si>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</si>
  <si>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</si>
  <si>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</si>
  <si>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</si>
  <si>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</si>
  <si>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</si>
  <si>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</si>
  <si>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</si>
  <si>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</si>
  <si>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</si>
  <si>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</si>
  <si>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</si>
  <si>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</si>
  <si>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</si>
  <si>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</si>
  <si>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</si>
  <si>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</si>
  <si>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</si>
  <si>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</si>
  <si>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</si>
  <si>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</si>
  <si>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</si>
  <si>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</si>
  <si>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</si>
  <si>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</si>
  <si>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</si>
  <si>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</si>
  <si>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</si>
  <si>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</si>
  <si>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</si>
  <si>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</si>
  <si>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</si>
  <si>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</si>
  <si>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</si>
  <si>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</si>
  <si>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</si>
  <si>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</si>
  <si>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</si>
  <si>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</si>
  <si>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</si>
  <si>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</si>
  <si>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</si>
  <si>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</si>
  <si>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</si>
  <si>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</si>
  <si>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</si>
  <si>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</si>
  <si>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</si>
  <si>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</si>
  <si>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</si>
  <si>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</si>
  <si>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</si>
  <si>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</si>
  <si>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</si>
  <si>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</si>
  <si>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</si>
  <si>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</si>
  <si>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</si>
  <si>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</si>
  <si>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</si>
  <si>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</si>
  <si>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</si>
  <si>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</si>
  <si>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</si>
  <si>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</si>
  <si>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</si>
  <si>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</si>
  <si>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</si>
  <si>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</si>
  <si>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</si>
  <si>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</si>
  <si>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</si>
  <si>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</si>
  <si>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</si>
  <si>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</si>
  <si>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</si>
  <si>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</si>
  <si>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</si>
  <si>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</si>
  <si>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</si>
  <si>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</si>
  <si>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</si>
  <si>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</si>
  <si>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</si>
  <si>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</si>
  <si>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</si>
  <si>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</si>
  <si>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</si>
  <si>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</si>
  <si>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</si>
  <si>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</si>
  <si>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</si>
  <si>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</si>
  <si>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</si>
  <si>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</si>
  <si>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</si>
  <si>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</si>
  <si>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</si>
  <si>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</si>
  <si>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</si>
  <si>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</si>
  <si>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</si>
  <si>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</si>
  <si>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</si>
  <si>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</si>
  <si>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</si>
  <si>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</si>
  <si>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</si>
  <si>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</si>
  <si>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</si>
  <si>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</si>
  <si>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</si>
  <si>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</si>
  <si>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</si>
  <si>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</si>
  <si>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</si>
  <si>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</si>
  <si>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</si>
  <si>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</si>
  <si>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</si>
  <si>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</si>
  <si>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</si>
  <si>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</si>
  <si>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</si>
  <si>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</si>
  <si>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</si>
  <si>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</si>
  <si>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</si>
  <si>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</si>
  <si>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</si>
  <si>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</si>
  <si>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</si>
  <si>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</si>
  <si>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</si>
  <si>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</si>
  <si>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</si>
  <si>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</si>
  <si>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</si>
  <si>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</si>
  <si>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</si>
  <si>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</si>
  <si>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</si>
  <si>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</si>
  <si>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</si>
  <si>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</si>
  <si>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</si>
  <si>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</si>
  <si>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</si>
  <si>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</si>
  <si>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</si>
  <si>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</si>
  <si>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</si>
  <si>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</si>
  <si>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</si>
  <si>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</si>
  <si>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</si>
  <si>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</si>
  <si>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</si>
  <si>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</si>
  <si>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</si>
  <si>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</si>
  <si>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</si>
  <si>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</si>
  <si>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</si>
  <si>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</si>
  <si>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</si>
  <si>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</si>
  <si>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</si>
  <si>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</si>
  <si>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</si>
  <si>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</si>
  <si>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</si>
  <si>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</si>
  <si>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</si>
  <si>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</si>
  <si>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</si>
  <si>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</si>
  <si>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</si>
  <si>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</si>
  <si>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</si>
  <si>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</si>
  <si>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</si>
  <si>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</si>
  <si>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</si>
  <si>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</si>
  <si>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</si>
  <si>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</si>
  <si>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</si>
  <si>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</si>
  <si>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</si>
  <si>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</si>
  <si>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</si>
  <si>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</si>
  <si>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</si>
  <si>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</si>
  <si>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</si>
  <si>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</si>
  <si>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</si>
  <si>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</si>
  <si>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</si>
  <si>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</si>
  <si>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</si>
  <si>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</si>
  <si>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</si>
  <si>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</si>
  <si>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</si>
  <si>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</si>
  <si>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</si>
  <si>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</si>
  <si>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</si>
  <si>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</si>
  <si>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</si>
  <si>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</si>
  <si>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</si>
  <si>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</si>
  <si>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</si>
  <si>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</si>
  <si>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</si>
  <si>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</si>
  <si>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</si>
  <si>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</si>
  <si>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</si>
  <si>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</si>
  <si>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</si>
  <si>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</si>
  <si>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</si>
  <si>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</si>
  <si>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</si>
  <si>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</si>
  <si>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</si>
  <si>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</si>
  <si>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</si>
  <si>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</si>
  <si>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</si>
  <si>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</si>
  <si>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</si>
  <si>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</si>
  <si>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</si>
  <si>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</si>
  <si>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</si>
  <si>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</si>
  <si>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</si>
  <si>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</si>
  <si>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</si>
  <si>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</si>
  <si>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</si>
  <si>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</si>
  <si>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</si>
  <si>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</si>
  <si>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</si>
  <si>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</si>
  <si>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</si>
  <si>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</si>
  <si>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</si>
  <si>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</si>
  <si>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</si>
  <si>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</si>
  <si>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</si>
  <si>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</si>
  <si>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</si>
  <si>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</si>
  <si>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</si>
  <si>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</si>
  <si>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</si>
  <si>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</si>
  <si>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</si>
  <si>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</si>
  <si>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</si>
  <si>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</si>
  <si>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</si>
  <si>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</si>
  <si>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</si>
  <si>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</si>
  <si>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</si>
  <si>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</si>
  <si>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</si>
  <si>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</si>
  <si>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</si>
  <si>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</si>
  <si>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</si>
  <si>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</si>
  <si>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</si>
  <si>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</si>
  <si>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</si>
  <si>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</si>
  <si>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</si>
  <si>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</si>
  <si>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</si>
  <si>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</si>
  <si>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</si>
  <si>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</si>
  <si>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</si>
  <si>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</si>
  <si>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</si>
  <si>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</si>
  <si>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</si>
  <si>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</si>
  <si>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</si>
  <si>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</si>
  <si>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</si>
  <si>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</si>
  <si>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</si>
  <si>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</si>
  <si>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</si>
  <si>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</si>
  <si>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</si>
  <si>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</si>
  <si>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</si>
  <si>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</si>
  <si>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</si>
  <si>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</si>
  <si>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</si>
  <si>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</si>
  <si>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</si>
  <si>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</si>
  <si>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</si>
  <si>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</si>
  <si>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</si>
  <si>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</si>
  <si>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</si>
  <si>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</si>
  <si>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</si>
  <si>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</si>
  <si>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</si>
  <si>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</si>
  <si>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</si>
  <si>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</si>
  <si>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</si>
  <si>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</si>
  <si>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</si>
  <si>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</si>
  <si>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</si>
  <si>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</si>
  <si>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</si>
  <si>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</si>
  <si>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</si>
  <si>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</si>
  <si>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</si>
  <si>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</si>
  <si>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</si>
  <si>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</si>
  <si>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</si>
  <si>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</si>
  <si>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</si>
  <si>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</si>
  <si>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</si>
  <si>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</si>
  <si>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</si>
  <si>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</si>
  <si>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</si>
  <si>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</si>
  <si>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</si>
  <si>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</si>
  <si>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</si>
  <si>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</si>
  <si>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</si>
  <si>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</si>
  <si>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</si>
  <si>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</si>
  <si>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</si>
  <si>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</si>
  <si>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</si>
  <si>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</si>
  <si>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</si>
  <si>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</si>
  <si>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</si>
  <si>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</si>
  <si>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</si>
  <si>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</si>
  <si>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</si>
  <si>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</si>
  <si>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</si>
  <si>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</si>
  <si>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</si>
  <si>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</si>
  <si>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</si>
  <si>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</si>
  <si>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</si>
  <si>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</si>
  <si>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</si>
  <si>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</si>
  <si>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</si>
  <si>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</si>
  <si>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</si>
  <si>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</si>
  <si>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</si>
  <si>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</si>
  <si>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</si>
  <si>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</si>
  <si>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</si>
  <si>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</si>
  <si>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</si>
  <si>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</si>
  <si>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</si>
  <si>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</si>
  <si>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</si>
  <si>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</si>
  <si>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</si>
  <si>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</si>
  <si>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</si>
  <si>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</si>
  <si>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</si>
  <si>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</si>
  <si>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</si>
  <si>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</si>
  <si>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</si>
  <si>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</si>
  <si>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</si>
  <si>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</si>
  <si>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</si>
  <si>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</si>
  <si>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</si>
  <si>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</si>
  <si>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</si>
  <si>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</si>
  <si>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</si>
  <si>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</si>
  <si>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</si>
  <si>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</si>
  <si>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</si>
  <si>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</si>
  <si>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</si>
  <si>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</si>
  <si>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</si>
  <si>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</si>
  <si>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</si>
  <si>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</si>
  <si>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</si>
  <si>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</si>
  <si>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</si>
  <si>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</si>
  <si>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</si>
  <si>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</si>
  <si>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</si>
  <si>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</si>
  <si>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</si>
  <si>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</si>
  <si>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</si>
  <si>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</si>
  <si>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</si>
  <si>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</si>
  <si>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</si>
  <si>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</si>
  <si>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</si>
  <si>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</si>
  <si>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</si>
  <si>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</si>
  <si>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</si>
  <si>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</si>
  <si>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</si>
  <si>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</si>
  <si>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</si>
  <si>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</si>
  <si>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</si>
  <si>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</si>
  <si>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</si>
  <si>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</si>
  <si>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</si>
  <si>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</si>
  <si>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</si>
  <si>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</si>
  <si>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</si>
  <si>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</si>
  <si>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</si>
  <si>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</si>
  <si>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</si>
  <si>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</si>
  <si>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</si>
  <si>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</si>
  <si>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</si>
  <si>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</si>
  <si>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</si>
  <si>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</si>
  <si>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</si>
  <si>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</si>
  <si>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</si>
  <si>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</si>
  <si>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</si>
  <si>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</si>
  <si>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</si>
  <si>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</si>
  <si>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</si>
  <si>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</si>
  <si>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</si>
  <si>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</si>
  <si>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</si>
  <si>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</si>
  <si>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</si>
  <si>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</si>
  <si>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</si>
  <si>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</si>
  <si>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</si>
  <si>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</si>
  <si>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</si>
  <si>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</si>
  <si>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</si>
  <si>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</si>
  <si>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</si>
  <si>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</si>
  <si>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</si>
  <si>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</si>
  <si>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</si>
  <si>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</si>
  <si>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</si>
  <si>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</si>
  <si>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</si>
  <si>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</si>
  <si>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</si>
  <si>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</si>
  <si>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</si>
  <si>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</si>
  <si>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</si>
  <si>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</si>
  <si>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</si>
  <si>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</si>
  <si>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</si>
  <si>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</si>
  <si>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</si>
  <si>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</si>
  <si>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</si>
  <si>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</si>
  <si>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</si>
  <si>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</si>
  <si>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</si>
  <si>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</si>
  <si>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</si>
  <si>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</si>
  <si>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</si>
  <si>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</si>
  <si>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</si>
  <si>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</si>
  <si>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</si>
  <si>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</si>
  <si>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</si>
  <si>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</si>
  <si>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</si>
  <si>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</si>
  <si>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</si>
  <si>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</si>
  <si>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</si>
  <si>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</si>
  <si>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</si>
  <si>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</si>
  <si>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</si>
  <si>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</si>
  <si>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</si>
  <si>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</si>
  <si>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</si>
  <si>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</si>
  <si>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</si>
  <si>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</si>
  <si>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</si>
  <si>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</si>
  <si>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</si>
  <si>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</si>
  <si>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</si>
  <si>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</si>
  <si>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</si>
  <si>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</si>
  <si>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</si>
  <si>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</si>
  <si>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</si>
  <si>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</si>
  <si>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</si>
  <si>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</si>
  <si>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</si>
  <si>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</si>
  <si>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</si>
  <si>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</si>
  <si>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</si>
  <si>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</si>
  <si>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</si>
  <si>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</si>
  <si>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</si>
  <si>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</si>
  <si>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</si>
  <si>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</si>
  <si>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</si>
  <si>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</si>
  <si>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</si>
  <si>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</si>
  <si>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</si>
  <si>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</si>
  <si>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</si>
  <si>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</si>
  <si>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</si>
  <si>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</si>
  <si>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</si>
  <si>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</si>
  <si>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</si>
  <si>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</si>
  <si>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</si>
  <si>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</si>
  <si>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</si>
  <si>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</si>
  <si>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</si>
  <si>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</si>
  <si>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</si>
  <si>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</si>
  <si>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</si>
  <si>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</si>
  <si>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</si>
  <si>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</si>
  <si>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</si>
  <si>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</si>
  <si>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</si>
  <si>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</si>
  <si>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</si>
  <si>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</si>
  <si>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</si>
  <si>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</si>
  <si>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</si>
  <si>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</si>
  <si>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</si>
  <si>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</si>
  <si>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</si>
  <si>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</si>
  <si>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</si>
  <si>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</si>
  <si>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</si>
  <si>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</si>
  <si>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</si>
  <si>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</si>
  <si>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</si>
  <si>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</si>
  <si>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</si>
  <si>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</si>
  <si>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</si>
  <si>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</si>
  <si>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</si>
  <si>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</si>
  <si>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</si>
  <si>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</si>
  <si>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</si>
  <si>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</si>
  <si>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</si>
  <si>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</si>
  <si>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</si>
  <si>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</si>
  <si>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</si>
  <si>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</si>
  <si>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</si>
  <si>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</si>
  <si>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</si>
  <si>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</si>
  <si>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</si>
  <si>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</si>
  <si>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</si>
  <si>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</si>
  <si>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</si>
  <si>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</si>
  <si>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</si>
  <si>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</si>
  <si>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</si>
  <si>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</si>
  <si>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</si>
  <si>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</si>
  <si>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</si>
  <si>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</si>
  <si>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</si>
  <si>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</si>
  <si>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</si>
  <si>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</si>
  <si>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</si>
  <si>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</si>
  <si>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</si>
  <si>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</si>
  <si>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</si>
  <si>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</si>
  <si>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</si>
  <si>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</si>
  <si>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</si>
  <si>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</si>
  <si>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</si>
  <si>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</si>
  <si>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</si>
  <si>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</si>
  <si>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</si>
  <si>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</si>
  <si>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</si>
  <si>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</si>
  <si>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</si>
  <si>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</si>
  <si>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</si>
  <si>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</si>
  <si>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</si>
  <si>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</si>
  <si>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</si>
  <si>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</si>
  <si>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</si>
  <si>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</si>
  <si>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</si>
  <si>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</si>
  <si>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</si>
  <si>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</si>
  <si>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</si>
  <si>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</si>
  <si>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</si>
  <si>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</si>
  <si>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</si>
  <si>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</si>
  <si>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</si>
  <si>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</si>
  <si>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</si>
  <si>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</si>
  <si>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</si>
  <si>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</si>
  <si>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</si>
  <si>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</si>
  <si>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</si>
  <si>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</si>
  <si>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</si>
  <si>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</si>
  <si>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</si>
  <si>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</si>
  <si>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</si>
  <si>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</si>
  <si>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</si>
  <si>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</si>
  <si>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</si>
  <si>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</si>
  <si>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</si>
  <si>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</si>
  <si>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</si>
  <si>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</si>
  <si>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</si>
  <si>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</si>
  <si>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</si>
  <si>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</si>
  <si>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</si>
  <si>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</si>
  <si>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</si>
  <si>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</si>
  <si>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</si>
  <si>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</si>
  <si>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</si>
  <si>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</si>
  <si>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</si>
  <si>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</si>
  <si>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</si>
  <si>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</si>
  <si>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</si>
  <si>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</si>
  <si>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</si>
  <si>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</si>
  <si>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</si>
  <si>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</si>
  <si>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</si>
  <si>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</si>
  <si>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</si>
  <si>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</si>
  <si>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</si>
  <si>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</si>
  <si>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</si>
  <si>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</si>
  <si>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</si>
  <si>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</si>
  <si>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</si>
  <si>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</si>
  <si>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</si>
  <si>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</si>
  <si>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</si>
  <si>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</si>
  <si>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</si>
  <si>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</si>
  <si>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</si>
  <si>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</si>
  <si>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</si>
  <si>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</si>
  <si>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</si>
  <si>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</si>
  <si>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</si>
  <si>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</si>
  <si>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</si>
  <si>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</si>
  <si>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</si>
  <si>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</si>
  <si>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</si>
  <si>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</si>
  <si>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</si>
  <si>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</si>
  <si>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</si>
  <si>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</si>
  <si>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</si>
  <si>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</si>
  <si>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</si>
  <si>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</si>
  <si>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</si>
  <si>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</si>
  <si>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</si>
  <si>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</si>
  <si>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</si>
  <si>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</si>
  <si>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</si>
  <si>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</si>
  <si>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</si>
  <si>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</si>
  <si>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</si>
  <si>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</si>
  <si>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</si>
  <si>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</si>
  <si>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</si>
  <si>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</si>
  <si>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</si>
  <si>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</si>
  <si>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</si>
  <si>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</si>
  <si>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</si>
  <si>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</si>
  <si>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</si>
  <si>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</si>
  <si>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</si>
  <si>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</si>
  <si>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</si>
  <si>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</si>
  <si>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</si>
  <si>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</si>
  <si>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</si>
  <si>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</si>
  <si>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</si>
  <si>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</si>
  <si>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</si>
  <si>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</si>
  <si>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</si>
  <si>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</si>
  <si>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</si>
  <si>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</si>
  <si>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</si>
  <si>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</si>
  <si>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</si>
  <si>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</si>
  <si>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</si>
  <si>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</si>
  <si>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</si>
  <si>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</si>
  <si>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</si>
  <si>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</si>
  <si>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</si>
  <si>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</si>
  <si>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</si>
  <si>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</si>
  <si>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</si>
  <si>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</si>
  <si>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</si>
  <si>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</si>
  <si>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</si>
  <si>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</si>
  <si>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</si>
  <si>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</si>
  <si>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</si>
  <si>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</si>
  <si>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</si>
  <si>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</si>
  <si>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</si>
  <si>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</si>
  <si>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</si>
  <si>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</si>
  <si>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</si>
  <si>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</si>
  <si>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</si>
  <si>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</si>
  <si>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</si>
  <si>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</si>
  <si>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</si>
  <si>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</si>
  <si>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</si>
  <si>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</si>
  <si>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</si>
  <si>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</si>
  <si>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</si>
  <si>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</si>
  <si>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</si>
  <si>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</si>
  <si>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</si>
  <si>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</si>
  <si>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</si>
  <si>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</si>
  <si>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</si>
  <si>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</si>
  <si>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</si>
  <si>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</si>
  <si>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</si>
  <si>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</si>
  <si>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</si>
  <si>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</si>
  <si>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</si>
  <si>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</si>
  <si>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</si>
  <si>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</si>
  <si>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</si>
  <si>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</si>
  <si>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</si>
  <si>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</si>
  <si>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</si>
  <si>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</si>
  <si>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</si>
  <si>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</si>
  <si>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</si>
  <si>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</si>
  <si>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</si>
  <si>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</si>
  <si>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</si>
  <si>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</si>
  <si>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</si>
  <si>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</si>
  <si>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</si>
  <si>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</si>
  <si>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</si>
  <si>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</si>
  <si>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</si>
  <si>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</si>
  <si>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</si>
  <si>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</si>
  <si>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</si>
  <si>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</si>
  <si>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</si>
  <si>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</si>
  <si>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</si>
  <si>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</si>
  <si>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</si>
  <si>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</si>
  <si>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</si>
  <si>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</si>
  <si>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</si>
  <si>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</si>
  <si>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</si>
  <si>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</si>
  <si>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</si>
  <si>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</si>
  <si>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</si>
  <si>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</si>
  <si>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</si>
  <si>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</si>
  <si>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</si>
  <si>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</si>
  <si>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</si>
  <si>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</si>
  <si>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</si>
  <si>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</si>
  <si>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</si>
  <si>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</si>
  <si>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</si>
  <si>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</si>
  <si>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</si>
  <si>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</si>
  <si>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</si>
  <si>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</si>
  <si>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</si>
  <si>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</si>
  <si>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</si>
  <si>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</si>
  <si>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</si>
  <si>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</si>
  <si>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</si>
  <si>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</si>
  <si>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</si>
  <si>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</si>
  <si>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</si>
  <si>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</si>
  <si>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</si>
  <si>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</si>
  <si>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</si>
  <si>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</si>
  <si>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</si>
  <si>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</si>
  <si>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</si>
  <si>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</si>
  <si>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</si>
  <si>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</si>
  <si>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</si>
  <si>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</si>
  <si>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</si>
  <si>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</si>
  <si>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</si>
  <si>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</si>
  <si>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</si>
  <si>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</si>
  <si>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</si>
  <si>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</si>
  <si>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</si>
  <si>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</si>
  <si>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</si>
  <si>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</si>
  <si>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</si>
  <si>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</si>
  <si>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</si>
  <si>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</si>
  <si>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</si>
  <si>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</si>
  <si>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</si>
  <si>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</si>
  <si>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</si>
  <si>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</si>
  <si>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</si>
  <si>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</si>
  <si>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</si>
  <si>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</si>
  <si>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</si>
  <si>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</si>
  <si>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</si>
  <si>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</si>
  <si>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</si>
  <si>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</si>
  <si>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</si>
  <si>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</si>
  <si>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</si>
  <si>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</si>
  <si>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</si>
  <si>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</si>
  <si>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</si>
  <si>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</si>
  <si>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</si>
  <si>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</si>
  <si>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</si>
  <si>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</si>
  <si>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</si>
  <si>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</si>
  <si>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</si>
  <si>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</si>
  <si>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</si>
  <si>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</si>
  <si>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</si>
  <si>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</si>
  <si>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</si>
  <si>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</si>
  <si>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</si>
  <si>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</si>
  <si>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</si>
  <si>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</si>
  <si>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</si>
  <si>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</si>
  <si>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</si>
  <si>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</si>
  <si>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</si>
  <si>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</si>
  <si>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</si>
  <si>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</si>
  <si>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</si>
  <si>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</si>
  <si>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</si>
  <si>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</si>
  <si>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</si>
  <si>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</si>
  <si>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</si>
  <si>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</si>
  <si>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</si>
  <si>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</si>
  <si>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</si>
  <si>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</si>
  <si>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</si>
  <si>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</si>
  <si>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</si>
  <si>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</si>
  <si>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</si>
  <si>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</si>
  <si>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</si>
  <si>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</si>
  <si>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</si>
  <si>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</si>
  <si>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</si>
  <si>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</si>
  <si>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</si>
  <si>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</si>
  <si>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</si>
  <si>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</si>
  <si>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</si>
  <si>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</si>
  <si>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</si>
  <si>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</si>
  <si>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</si>
  <si>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</si>
  <si>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</si>
  <si>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</si>
  <si>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</si>
  <si>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</si>
  <si>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</si>
  <si>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</si>
  <si>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</si>
  <si>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</si>
  <si>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</si>
  <si>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</si>
  <si>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</si>
  <si>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</si>
  <si>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</si>
  <si>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</si>
  <si>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</si>
  <si>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</si>
  <si>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</si>
  <si>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</si>
  <si>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</si>
  <si>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</si>
  <si>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</si>
  <si>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</si>
  <si>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</si>
  <si>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</si>
  <si>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</si>
  <si>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</si>
  <si>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</si>
  <si>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</si>
  <si>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</si>
  <si>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</si>
  <si>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</si>
  <si>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</si>
  <si>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</si>
  <si>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</si>
  <si>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</si>
  <si>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</si>
  <si>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</si>
  <si>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</si>
  <si>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</si>
  <si>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</si>
  <si>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</si>
  <si>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</si>
  <si>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</si>
  <si>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</si>
  <si>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</si>
  <si>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</si>
  <si>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</si>
  <si>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</si>
  <si>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</si>
  <si>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</si>
  <si>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</si>
  <si>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</si>
  <si>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</si>
  <si>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</si>
  <si>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</si>
  <si>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</si>
  <si>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</si>
  <si>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</si>
  <si>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</si>
  <si>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</si>
  <si>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</si>
  <si>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</si>
  <si>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</si>
  <si>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</si>
  <si>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</si>
  <si>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</si>
  <si>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</si>
  <si>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</si>
  <si>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</si>
  <si>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</si>
  <si>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</si>
  <si>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</si>
  <si>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</si>
  <si>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</si>
  <si>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</si>
  <si>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</si>
  <si>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</si>
  <si>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</si>
  <si>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</si>
  <si>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</si>
  <si>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</si>
  <si>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</si>
  <si>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</si>
  <si>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</si>
  <si>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</si>
  <si>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</si>
  <si>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</si>
  <si>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</si>
  <si>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</si>
  <si>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</si>
  <si>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</si>
  <si>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</si>
  <si>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</si>
  <si>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</si>
  <si>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</si>
  <si>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</si>
  <si>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</si>
  <si>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</si>
  <si>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</si>
  <si>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</si>
  <si>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</si>
  <si>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</si>
  <si>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</si>
  <si>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</si>
  <si>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</si>
  <si>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</si>
  <si>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</si>
  <si>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</si>
  <si>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</si>
  <si>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</si>
  <si>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</si>
  <si>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</si>
  <si>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</si>
  <si>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</si>
  <si>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</si>
  <si>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</si>
  <si>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</si>
  <si>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</si>
  <si>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</si>
  <si>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</si>
  <si>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</si>
  <si>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</si>
  <si>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</si>
  <si>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</si>
  <si>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</si>
  <si>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</si>
  <si>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</si>
  <si>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</si>
  <si>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</si>
  <si>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</si>
  <si>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</si>
  <si>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</si>
  <si>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</si>
  <si>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</si>
  <si>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</si>
  <si>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</si>
  <si>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</si>
  <si>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</si>
  <si>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</si>
  <si>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</si>
  <si>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</si>
  <si>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</si>
  <si>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</si>
  <si>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</si>
  <si>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</si>
  <si>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</si>
  <si>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</si>
  <si>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</si>
  <si>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</si>
  <si>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</si>
  <si>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</si>
  <si>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</si>
  <si>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</si>
  <si>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</si>
  <si>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</si>
  <si>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</si>
  <si>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</si>
  <si>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</si>
  <si>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</si>
  <si>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</si>
  <si>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</si>
  <si>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</si>
  <si>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</si>
  <si>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</si>
  <si>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</si>
  <si>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</si>
  <si>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</si>
  <si>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</si>
  <si>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</si>
  <si>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</si>
  <si>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</si>
  <si>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</si>
  <si>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</si>
  <si>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</si>
  <si>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</si>
  <si>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</si>
  <si>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</si>
  <si>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</si>
  <si>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</si>
  <si>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</si>
  <si>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</si>
  <si>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</si>
  <si>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</si>
  <si>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</si>
  <si>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</si>
  <si>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</si>
  <si>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</si>
  <si>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</si>
  <si>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</si>
  <si>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</si>
  <si>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</si>
  <si>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</si>
  <si>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</si>
  <si>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</si>
  <si>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</si>
  <si>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</si>
  <si>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</si>
  <si>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</si>
  <si>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</si>
  <si>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</si>
  <si>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</si>
  <si>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</si>
  <si>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</si>
  <si>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</si>
  <si>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</si>
  <si>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</si>
  <si>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</si>
  <si>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</si>
  <si>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</si>
  <si>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</si>
  <si>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</si>
  <si>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</si>
  <si>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</si>
  <si>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</si>
  <si>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</si>
  <si>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</si>
  <si>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</si>
  <si>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</si>
  <si>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</si>
  <si>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</si>
  <si>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</si>
  <si>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</si>
  <si>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</si>
  <si>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</si>
  <si>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</si>
  <si>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</si>
  <si>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</si>
  <si>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</si>
  <si>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</si>
  <si>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</si>
  <si>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</si>
  <si>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</si>
  <si>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</si>
  <si>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</si>
  <si>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</si>
  <si>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</si>
  <si>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</si>
  <si>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</si>
  <si>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</si>
  <si>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</si>
  <si>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</si>
  <si>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</si>
  <si>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</si>
  <si>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</si>
  <si>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</si>
  <si>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</si>
  <si>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</si>
  <si>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</si>
  <si>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</si>
  <si>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</si>
  <si>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</si>
  <si>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</si>
  <si>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</si>
  <si>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</si>
  <si>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</si>
  <si>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</si>
  <si>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</si>
  <si>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</si>
  <si>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</si>
  <si>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</si>
  <si>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</si>
  <si>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</si>
  <si>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</si>
  <si>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</si>
  <si>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</si>
  <si>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</si>
  <si>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</si>
  <si>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</si>
  <si>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</si>
  <si>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</si>
  <si>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</si>
  <si>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</si>
  <si>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</si>
  <si>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</si>
  <si>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</si>
  <si>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</si>
  <si>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</si>
  <si>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</si>
  <si>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</si>
  <si>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</si>
  <si>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</si>
  <si>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</si>
  <si>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</si>
  <si>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</si>
  <si>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</si>
  <si>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</si>
  <si>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</si>
  <si>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</si>
  <si>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</si>
  <si>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</si>
  <si>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</si>
  <si>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</si>
  <si>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</si>
  <si>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</si>
  <si>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</si>
  <si>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</si>
  <si>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</si>
  <si>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</si>
  <si>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</si>
  <si>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</si>
  <si>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</si>
  <si>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</si>
  <si>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</si>
  <si>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</si>
  <si>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</si>
  <si>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</si>
  <si>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</si>
  <si>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</si>
  <si>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</si>
  <si>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</si>
  <si>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</si>
  <si>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</si>
  <si>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</si>
  <si>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</si>
  <si>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</si>
  <si>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</si>
  <si>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</si>
  <si>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</si>
  <si>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</si>
  <si>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</si>
  <si>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</si>
  <si>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</si>
  <si>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</si>
  <si>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</si>
  <si>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</si>
  <si>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</si>
  <si>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</si>
  <si>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</si>
  <si>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</si>
  <si>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</si>
  <si>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</si>
  <si>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</si>
  <si>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</si>
  <si>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</si>
  <si>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</si>
  <si>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</si>
  <si>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</si>
  <si>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</si>
  <si>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</si>
  <si>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</si>
  <si>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</si>
  <si>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</si>
  <si>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</si>
  <si>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</si>
  <si>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</si>
  <si>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</si>
  <si>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</si>
  <si>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</si>
  <si>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</si>
  <si>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</si>
  <si>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</si>
  <si>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</si>
  <si>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</si>
  <si>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</si>
  <si>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</si>
  <si>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</si>
  <si>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</si>
  <si>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</si>
  <si>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</si>
  <si>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</si>
  <si>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</si>
  <si>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</si>
  <si>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</si>
  <si>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</si>
  <si>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</si>
  <si>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</si>
  <si>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</si>
  <si>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</si>
  <si>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</si>
  <si>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</si>
  <si>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</si>
  <si>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</si>
  <si>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</si>
  <si>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</si>
  <si>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</si>
  <si>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</si>
  <si>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</si>
  <si>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</si>
  <si>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</si>
  <si>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</si>
  <si>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</si>
  <si>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</si>
  <si>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</si>
  <si>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</si>
  <si>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</si>
  <si>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</si>
  <si>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</si>
  <si>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</si>
  <si>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</si>
  <si>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</si>
  <si>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</si>
  <si>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</si>
  <si>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</si>
  <si>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</si>
  <si>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</si>
  <si>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</si>
  <si>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</si>
  <si>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</si>
  <si>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</si>
  <si>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</si>
  <si>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</si>
  <si>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</si>
  <si>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</si>
  <si>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</si>
  <si>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</si>
  <si>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</si>
  <si>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</si>
  <si>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</si>
  <si>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</si>
  <si>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</si>
  <si>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</si>
  <si>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</si>
  <si>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</si>
  <si>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</si>
  <si>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</si>
  <si>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</si>
  <si>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</si>
  <si>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</si>
  <si>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</si>
  <si>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</si>
  <si>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</si>
  <si>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</si>
  <si>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</si>
  <si>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</si>
  <si>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</si>
  <si>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</si>
  <si>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</si>
  <si>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</si>
  <si>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</si>
  <si>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</si>
  <si>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</si>
  <si>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</si>
  <si>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</si>
  <si>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</si>
  <si>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</si>
  <si>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</si>
  <si>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</si>
  <si>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</si>
  <si>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</si>
  <si>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</si>
  <si>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</si>
  <si>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</si>
  <si>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</si>
  <si>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</si>
  <si>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</si>
  <si>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</si>
  <si>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</si>
  <si>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</si>
  <si>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</si>
  <si>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</si>
  <si>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</si>
  <si>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</si>
  <si>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</si>
  <si>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</si>
  <si>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</si>
  <si>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</si>
  <si>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</si>
  <si>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</si>
  <si>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</si>
  <si>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</si>
  <si>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</si>
  <si>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</si>
  <si>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</si>
  <si>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</si>
  <si>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</si>
  <si>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</si>
  <si>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</si>
  <si>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</si>
  <si>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</si>
  <si>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</si>
  <si>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</si>
  <si>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</si>
  <si>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</si>
  <si>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</si>
  <si>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</si>
  <si>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</si>
  <si>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</si>
  <si>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</si>
  <si>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</si>
  <si>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</si>
  <si>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</si>
  <si>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</si>
  <si>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</si>
  <si>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</si>
  <si>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</si>
  <si>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</si>
  <si>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</si>
  <si>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</si>
  <si>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</si>
  <si>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</si>
  <si>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</si>
  <si>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</si>
  <si>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</si>
  <si>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</si>
  <si>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</si>
  <si>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</si>
  <si>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</si>
  <si>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</si>
  <si>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</si>
  <si>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</si>
  <si>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</si>
  <si>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</si>
  <si>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</si>
  <si>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</si>
  <si>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</si>
  <si>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</si>
  <si>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</si>
  <si>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</si>
  <si>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</si>
  <si>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</si>
  <si>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</si>
  <si>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</si>
  <si>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</si>
  <si>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</si>
  <si>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</si>
  <si>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</si>
  <si>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</si>
  <si>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</si>
  <si>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</si>
  <si>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</si>
  <si>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</si>
  <si>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</si>
  <si>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</si>
  <si>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</si>
  <si>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</si>
  <si>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</si>
  <si>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</si>
  <si>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</si>
  <si>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</si>
  <si>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</si>
  <si>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</si>
  <si>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</si>
  <si>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</si>
  <si>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</si>
  <si>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</si>
  <si>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</si>
  <si>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</si>
  <si>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</si>
  <si>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</si>
  <si>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</si>
  <si>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</si>
  <si>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</si>
  <si>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</si>
  <si>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</si>
  <si>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</si>
  <si>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</si>
  <si>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</si>
  <si>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</si>
  <si>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</si>
  <si>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</si>
  <si>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</si>
  <si>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</si>
  <si>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</si>
  <si>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</si>
  <si>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</si>
  <si>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</si>
  <si>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</si>
  <si>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</si>
  <si>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</si>
  <si>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</si>
  <si>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</si>
  <si>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</si>
  <si>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</si>
  <si>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</si>
  <si>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</si>
  <si>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</si>
  <si>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</si>
  <si>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</si>
  <si>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</si>
  <si>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</si>
  <si>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</si>
  <si>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</si>
  <si>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</si>
  <si>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</si>
  <si>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</si>
  <si>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</si>
  <si>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</si>
  <si>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</si>
  <si>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</si>
  <si>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</si>
  <si>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</si>
  <si>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</si>
  <si>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</si>
  <si>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</si>
  <si>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</si>
  <si>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</si>
  <si>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</si>
  <si>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</si>
  <si>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</si>
  <si>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</si>
  <si>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</si>
  <si>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</si>
  <si>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</si>
  <si>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</si>
  <si>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</si>
  <si>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</si>
  <si>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</si>
  <si>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</si>
  <si>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</si>
  <si>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</si>
  <si>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</si>
  <si>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</si>
  <si>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</si>
  <si>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</si>
  <si>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</si>
  <si>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</si>
  <si>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</si>
  <si>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</si>
  <si>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</si>
  <si>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</si>
  <si>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</si>
  <si>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</si>
  <si>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</si>
  <si>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</si>
  <si>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</si>
  <si>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</si>
  <si>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</si>
  <si>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</si>
  <si>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</si>
  <si>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</si>
  <si>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</si>
  <si>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</si>
  <si>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</si>
  <si>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</si>
  <si>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</si>
  <si>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</si>
  <si>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</si>
  <si>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</si>
  <si>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</si>
  <si>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</si>
  <si>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</si>
  <si>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</si>
  <si>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</si>
  <si>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</si>
  <si>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</si>
  <si>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</si>
  <si>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</si>
  <si>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</si>
  <si>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</si>
  <si>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</si>
  <si>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</si>
  <si>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</si>
  <si>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</si>
  <si>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</si>
  <si>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</si>
  <si>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</si>
  <si>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</si>
  <si>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</si>
  <si>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</si>
  <si>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</si>
  <si>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</si>
  <si>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</si>
  <si>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</si>
  <si>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</si>
  <si>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</si>
  <si>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</si>
  <si>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</si>
  <si>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</si>
  <si>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</si>
  <si>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</si>
  <si>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</si>
  <si>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</si>
  <si>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</si>
  <si>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</si>
  <si>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</si>
  <si>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</si>
  <si>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</si>
  <si>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</si>
  <si>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</si>
  <si>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</si>
  <si>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</si>
  <si>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</si>
  <si>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</si>
  <si>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</si>
  <si>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</si>
  <si>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</si>
  <si>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</si>
  <si>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</si>
  <si>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</si>
  <si>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</si>
  <si>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</si>
  <si>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</si>
  <si>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</si>
  <si>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</si>
  <si>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</si>
  <si>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</si>
  <si>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</si>
  <si>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</si>
  <si>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</si>
  <si>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</si>
  <si>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</si>
  <si>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</si>
  <si>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</si>
  <si>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</si>
  <si>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</si>
  <si>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</si>
  <si>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</si>
  <si>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</si>
  <si>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</si>
  <si>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</si>
  <si>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</si>
  <si>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</si>
  <si>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</si>
  <si>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</si>
  <si>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</si>
  <si>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</si>
  <si>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</si>
  <si>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</si>
  <si>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</si>
  <si>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</si>
  <si>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</si>
  <si>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</si>
  <si>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</si>
  <si>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</si>
  <si>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</si>
  <si>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</si>
  <si>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</si>
  <si>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</si>
  <si>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</si>
  <si>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</si>
  <si>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</si>
  <si>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</si>
  <si>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</si>
  <si>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</si>
  <si>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</si>
  <si>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</si>
  <si>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</si>
  <si>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</si>
  <si>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</si>
  <si>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</si>
  <si>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</si>
  <si>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</si>
  <si>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</si>
  <si>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</si>
  <si>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</si>
  <si>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</si>
  <si>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</si>
  <si>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</si>
  <si>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</si>
  <si>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</si>
  <si>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</si>
  <si>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</si>
  <si>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</si>
  <si>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</si>
  <si>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</si>
  <si>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</si>
  <si>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</si>
  <si>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</si>
  <si>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</si>
  <si>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</si>
  <si>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</si>
  <si>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</si>
  <si>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</si>
  <si>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</si>
  <si>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</si>
  <si>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</si>
  <si>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</si>
  <si>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</si>
  <si>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</si>
  <si>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</si>
  <si>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</si>
  <si>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</si>
  <si>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</si>
  <si>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</si>
  <si>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</si>
  <si>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</si>
  <si>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</si>
  <si>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</si>
  <si>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</si>
  <si>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</si>
  <si>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</si>
  <si>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</si>
  <si>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</si>
  <si>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</si>
  <si>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</si>
  <si>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</si>
  <si>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</si>
  <si>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</si>
  <si>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</si>
  <si>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</si>
  <si>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</si>
  <si>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</si>
  <si>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</si>
  <si>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</si>
  <si>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</si>
  <si>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</si>
  <si>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</si>
  <si>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</si>
  <si>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</si>
  <si>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</si>
  <si>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</si>
  <si>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</si>
  <si>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</si>
  <si>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</si>
  <si>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</si>
  <si>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</si>
  <si>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</si>
  <si>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</si>
  <si>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</si>
  <si>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</si>
  <si>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</si>
  <si>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</si>
  <si>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</si>
  <si>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</si>
  <si>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</si>
  <si>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</si>
  <si>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</si>
  <si>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</si>
  <si>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</si>
  <si>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</si>
  <si>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</si>
  <si>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</si>
  <si>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</si>
  <si>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</si>
  <si>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</si>
  <si>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</si>
  <si>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</si>
  <si>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</si>
  <si>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</si>
  <si>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</si>
  <si>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</si>
  <si>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</si>
  <si>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</si>
  <si>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</si>
  <si>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</si>
  <si>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</si>
  <si>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</si>
  <si>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</si>
  <si>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</si>
  <si>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</si>
  <si>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</si>
  <si>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</si>
  <si>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</si>
  <si>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</si>
  <si>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</si>
  <si>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</si>
  <si>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</si>
  <si>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</si>
  <si>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</si>
  <si>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</si>
  <si>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</si>
  <si>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</si>
  <si>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</si>
  <si>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</si>
  <si>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</si>
  <si>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</si>
  <si>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</si>
  <si>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</si>
  <si>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</si>
  <si>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</si>
  <si>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</si>
  <si>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</si>
  <si>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</si>
  <si>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</si>
  <si>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</si>
  <si>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</si>
  <si>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</si>
  <si>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</si>
  <si>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</si>
  <si>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</si>
  <si>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</si>
  <si>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</si>
  <si>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</si>
  <si>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</si>
  <si>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</si>
  <si>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</si>
  <si>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</si>
  <si>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</si>
  <si>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</si>
  <si>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</si>
  <si>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</si>
  <si>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</si>
  <si>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</si>
  <si>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</si>
  <si>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</si>
  <si>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</si>
  <si>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</si>
  <si>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</si>
  <si>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</si>
  <si>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</si>
  <si>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</si>
  <si>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</si>
  <si>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</si>
  <si>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</si>
  <si>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</si>
  <si>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</si>
  <si>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</si>
  <si>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</si>
  <si>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</si>
  <si>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</si>
  <si>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</si>
  <si>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</si>
  <si>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</si>
  <si>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</si>
  <si>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</si>
  <si>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</si>
  <si>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</si>
  <si>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</si>
  <si>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</si>
  <si>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</si>
  <si>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</si>
  <si>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</si>
  <si>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</si>
  <si>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</si>
  <si>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</si>
  <si>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</si>
  <si>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</si>
  <si>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</si>
  <si>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</si>
  <si>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</si>
  <si>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</si>
  <si>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</si>
  <si>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</si>
  <si>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</si>
  <si>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</si>
  <si>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</si>
  <si>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</si>
  <si>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</si>
  <si>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</si>
  <si>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</si>
  <si>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</si>
  <si>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</si>
  <si>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</si>
  <si>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</si>
  <si>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</si>
  <si>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</si>
  <si>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</si>
  <si>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</si>
  <si>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</si>
  <si>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</si>
  <si>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</si>
  <si>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</si>
  <si>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</si>
  <si>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</si>
  <si>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</si>
  <si>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</si>
  <si>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</si>
  <si>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</si>
  <si>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</si>
  <si>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</si>
  <si>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</si>
  <si>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</si>
  <si>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</si>
  <si>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</si>
  <si>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</si>
  <si>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</si>
  <si>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</si>
  <si>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</si>
  <si>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</si>
  <si>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</si>
  <si>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</si>
  <si>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</si>
  <si>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</si>
  <si>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</si>
  <si>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</si>
  <si>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</si>
  <si>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</si>
  <si>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</si>
  <si>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</si>
  <si>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</si>
  <si>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</si>
  <si>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</si>
  <si>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</si>
  <si>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</si>
  <si>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</si>
  <si>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</si>
  <si>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</si>
  <si>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</si>
  <si>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</si>
  <si>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</si>
  <si>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</si>
  <si>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</si>
  <si>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</si>
  <si>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</si>
  <si>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</si>
  <si>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</si>
  <si>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</si>
  <si>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</si>
  <si>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</si>
  <si>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</si>
  <si>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</si>
  <si>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</si>
  <si>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</si>
  <si>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</si>
  <si>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</si>
  <si>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</si>
  <si>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</si>
  <si>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</si>
  <si>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</si>
  <si>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</si>
  <si>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</si>
  <si>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</si>
  <si>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</si>
  <si>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</si>
  <si>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</si>
  <si>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</si>
  <si>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</si>
  <si>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</si>
  <si>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</si>
  <si>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</si>
  <si>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</si>
  <si>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</si>
  <si>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</si>
  <si>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</si>
  <si>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</si>
  <si>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</si>
  <si>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</si>
  <si>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</si>
  <si>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</si>
  <si>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</si>
  <si>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</si>
  <si>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</si>
  <si>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</si>
  <si>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</si>
  <si>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</si>
  <si>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</si>
  <si>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</si>
  <si>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</si>
  <si>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</si>
  <si>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</si>
  <si>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</si>
  <si>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</si>
  <si>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</si>
  <si>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</si>
  <si>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</si>
  <si>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</si>
  <si>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</si>
  <si>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</si>
  <si>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</si>
  <si>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</si>
  <si>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</si>
  <si>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</si>
  <si>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</si>
  <si>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</si>
  <si>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</si>
  <si>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</si>
  <si>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</si>
  <si>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</si>
  <si>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</si>
  <si>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</si>
  <si>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</si>
  <si>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</si>
  <si>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</si>
  <si>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</si>
  <si>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</si>
  <si>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</si>
  <si>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</si>
  <si>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</si>
  <si>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</si>
  <si>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</si>
  <si>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</si>
  <si>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</si>
  <si>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</si>
  <si>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</si>
  <si>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</si>
  <si>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</si>
  <si>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</si>
  <si>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</si>
  <si>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</si>
  <si>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</si>
  <si>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</si>
  <si>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</si>
  <si>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</si>
  <si>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</si>
  <si>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</si>
  <si>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</si>
  <si>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</si>
  <si>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</si>
  <si>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</si>
  <si>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</si>
  <si>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</si>
  <si>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</si>
  <si>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</si>
  <si>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</si>
  <si>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</si>
  <si>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</si>
  <si>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</si>
  <si>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</si>
  <si>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</si>
  <si>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</si>
  <si>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</si>
  <si>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</si>
  <si>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</si>
  <si>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</si>
  <si>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</si>
  <si>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</si>
  <si>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</si>
  <si>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</si>
  <si>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</si>
  <si>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</si>
  <si>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</si>
  <si>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</si>
  <si>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</si>
  <si>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</si>
  <si>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</si>
  <si>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</si>
  <si>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</si>
  <si>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</si>
  <si>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</si>
  <si>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</si>
  <si>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</si>
  <si>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</si>
  <si>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</si>
  <si>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</si>
  <si>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</si>
  <si>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</si>
  <si>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</si>
  <si>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</si>
  <si>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</si>
  <si>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</si>
  <si>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</si>
  <si>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</si>
  <si>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</si>
  <si>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</si>
  <si>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</si>
  <si>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</si>
  <si>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</si>
  <si>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</si>
  <si>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</si>
  <si>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</si>
  <si>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</si>
  <si>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</si>
  <si>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</si>
  <si>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</si>
  <si>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</si>
  <si>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</si>
  <si>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</si>
  <si>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</si>
  <si>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</si>
  <si>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</si>
  <si>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</si>
  <si>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</si>
  <si>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</si>
  <si>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</si>
  <si>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</si>
  <si>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</si>
  <si>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</si>
  <si>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</si>
  <si>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</si>
  <si>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</si>
  <si>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</si>
  <si>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</si>
  <si>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</si>
  <si>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</si>
  <si>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</si>
  <si>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</si>
  <si>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</si>
  <si>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</si>
  <si>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</si>
  <si>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</si>
  <si>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</si>
  <si>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</si>
  <si>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</si>
  <si>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</si>
  <si>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</si>
  <si>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</si>
  <si>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</si>
  <si>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</si>
  <si>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</si>
  <si>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</si>
  <si>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</si>
  <si>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</si>
  <si>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</si>
  <si>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</si>
  <si>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</si>
  <si>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</si>
  <si>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</si>
  <si>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</si>
  <si>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</si>
  <si>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</si>
  <si>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</si>
  <si>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</si>
  <si>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</si>
  <si>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</si>
  <si>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</si>
  <si>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</si>
  <si>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</si>
  <si>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</si>
  <si>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</si>
  <si>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</si>
  <si>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</si>
  <si>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</si>
  <si>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</si>
  <si>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</si>
  <si>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</si>
  <si>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</si>
  <si>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</si>
  <si>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</si>
  <si>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</si>
  <si>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</si>
  <si>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</si>
  <si>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</si>
  <si>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</si>
  <si>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</si>
  <si>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</si>
  <si>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</si>
  <si>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</si>
  <si>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</si>
  <si>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</si>
  <si>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</si>
  <si>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</si>
  <si>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</si>
  <si>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</si>
  <si>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</si>
  <si>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</si>
  <si>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</si>
  <si>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</si>
  <si>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</si>
  <si>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</si>
  <si>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</si>
  <si>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</si>
  <si>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</si>
  <si>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</si>
  <si>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</si>
  <si>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</si>
  <si>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</si>
  <si>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</si>
  <si>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</si>
  <si>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</si>
  <si>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</si>
  <si>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</si>
  <si>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</si>
  <si>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</si>
  <si>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</si>
  <si>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</si>
  <si>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</si>
  <si>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</si>
  <si>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</si>
  <si>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</si>
  <si>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</si>
  <si>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</si>
  <si>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</si>
  <si>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</si>
  <si>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</si>
  <si>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</si>
  <si>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</si>
  <si>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</si>
  <si>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</si>
  <si>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</si>
  <si>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</si>
  <si>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</si>
  <si>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</si>
  <si>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</si>
  <si>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</si>
  <si>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</si>
  <si>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</si>
  <si>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</si>
  <si>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</si>
  <si>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</si>
  <si>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</si>
  <si>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</si>
  <si>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</si>
  <si>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</si>
  <si>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</si>
  <si>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</si>
  <si>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</si>
  <si>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</si>
  <si>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</si>
  <si>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</si>
  <si>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</si>
  <si>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</si>
  <si>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</si>
  <si>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</si>
  <si>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</si>
  <si>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</si>
  <si>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</si>
  <si>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</si>
  <si>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</si>
  <si>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</si>
  <si>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</si>
  <si>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</si>
  <si>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</si>
  <si>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</si>
  <si>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</si>
  <si>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</si>
  <si>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</si>
  <si>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</si>
  <si>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</si>
  <si>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</si>
  <si>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</si>
  <si>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</si>
  <si>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</si>
  <si>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</si>
  <si>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</si>
  <si>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</si>
  <si>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</si>
  <si>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</si>
  <si>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</si>
  <si>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</si>
  <si>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</si>
  <si>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</si>
  <si>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</si>
  <si>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</si>
  <si>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</si>
  <si>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</si>
  <si>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</si>
  <si>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</si>
  <si>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</si>
  <si>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</si>
  <si>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</si>
  <si>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</si>
  <si>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</si>
  <si>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</si>
  <si>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</si>
  <si>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</si>
  <si>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</si>
  <si>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</si>
  <si>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</si>
  <si>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</si>
  <si>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</si>
  <si>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</si>
  <si>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</si>
  <si>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</si>
  <si>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</si>
  <si>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</si>
  <si>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</si>
  <si>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</si>
  <si>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</si>
  <si>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</si>
  <si>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</si>
  <si>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</si>
  <si>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</si>
  <si>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</si>
  <si>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</si>
  <si>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</si>
  <si>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</si>
  <si>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</si>
  <si>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</si>
  <si>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</si>
  <si>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</si>
  <si>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</si>
  <si>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</si>
  <si>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</si>
  <si>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</si>
  <si>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</si>
  <si>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</si>
  <si>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</si>
  <si>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</si>
  <si>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</si>
  <si>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</si>
  <si>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</si>
  <si>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</si>
  <si>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</si>
  <si>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</si>
  <si>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</si>
  <si>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</si>
  <si>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</si>
  <si>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</si>
  <si>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</si>
  <si>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</si>
  <si>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</si>
  <si>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</si>
  <si>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</si>
  <si>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</si>
  <si>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</si>
  <si>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</si>
  <si>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</si>
  <si>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</si>
  <si>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</si>
  <si>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</si>
  <si>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</si>
  <si>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</si>
  <si>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</si>
  <si>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</si>
  <si>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</si>
  <si>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</si>
  <si>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</si>
  <si>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</si>
  <si>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</si>
  <si>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</si>
  <si>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</si>
  <si>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</si>
  <si>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</si>
  <si>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</si>
  <si>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</si>
  <si>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</si>
  <si>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</si>
  <si>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</si>
  <si>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</si>
  <si>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</si>
  <si>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</si>
  <si>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</si>
  <si>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</si>
  <si>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</si>
  <si>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</si>
  <si>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</si>
  <si>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</si>
  <si>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</si>
  <si>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</si>
  <si>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</si>
  <si>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</si>
  <si>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</si>
  <si>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</si>
  <si>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</si>
  <si>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</si>
  <si>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</si>
  <si>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</si>
  <si>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</si>
  <si>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</si>
  <si>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</si>
  <si>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</si>
  <si>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</si>
  <si>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</si>
  <si>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</si>
  <si>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</si>
  <si>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</si>
  <si>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</si>
  <si>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</si>
  <si>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</si>
  <si>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</si>
  <si>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</si>
  <si>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</si>
  <si>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</si>
  <si>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</si>
  <si>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</si>
  <si>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</si>
  <si>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</si>
  <si>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</si>
  <si>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</si>
  <si>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</si>
  <si>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</si>
  <si>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</si>
  <si>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</si>
  <si>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</si>
  <si>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</si>
  <si>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</si>
  <si>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</si>
  <si>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</si>
  <si>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</si>
  <si>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</si>
  <si>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</si>
  <si>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</si>
  <si>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</si>
  <si>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</si>
  <si>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</si>
  <si>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</si>
  <si>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</si>
  <si>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</si>
  <si>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</si>
  <si>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</si>
  <si>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</si>
  <si>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</si>
  <si>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</si>
  <si>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</si>
  <si>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</si>
  <si>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</si>
  <si>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</si>
  <si>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</si>
  <si>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</si>
  <si>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</si>
  <si>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</si>
  <si>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</si>
  <si>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</si>
  <si>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</si>
  <si>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</si>
  <si>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</si>
  <si>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</si>
  <si>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</si>
  <si>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</si>
  <si>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</si>
  <si>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</si>
  <si>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</si>
  <si>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</si>
  <si>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</si>
  <si>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</si>
  <si>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</si>
  <si>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</si>
  <si>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</si>
  <si>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</si>
  <si>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</si>
  <si>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</si>
  <si>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</si>
  <si>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</si>
  <si>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</si>
  <si>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</si>
  <si>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</si>
  <si>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</si>
  <si>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</si>
  <si>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</si>
  <si>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</si>
  <si>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</si>
  <si>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</si>
  <si>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</si>
  <si>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</si>
  <si>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</si>
  <si>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</si>
  <si>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</si>
  <si>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</si>
  <si>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</si>
  <si>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</si>
  <si>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</si>
  <si>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</si>
  <si>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</si>
  <si>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</si>
  <si>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</si>
  <si>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</si>
  <si>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</si>
  <si>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</si>
  <si>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</si>
  <si>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</si>
  <si>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</si>
  <si>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</si>
  <si>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</si>
  <si>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</si>
  <si>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</si>
  <si>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</si>
  <si>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</si>
  <si>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</si>
  <si>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</si>
  <si>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</si>
  <si>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</si>
  <si>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</si>
  <si>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</si>
  <si>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</si>
  <si>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</si>
  <si>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</si>
  <si>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</si>
  <si>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</si>
  <si>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</si>
  <si>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</si>
  <si>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</si>
  <si>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</si>
  <si>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</si>
  <si>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</si>
  <si>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</si>
  <si>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</si>
  <si>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</si>
  <si>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</si>
  <si>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</si>
  <si>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</si>
  <si>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</si>
  <si>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</si>
  <si>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</si>
  <si>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</si>
  <si>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</si>
  <si>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</si>
  <si>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</si>
  <si>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</si>
  <si>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</si>
  <si>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</si>
  <si>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</si>
  <si>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</si>
  <si>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</si>
  <si>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</si>
  <si>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</si>
  <si>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</si>
  <si>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</si>
  <si>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</si>
  <si>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</si>
  <si>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</si>
  <si>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</si>
  <si>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</si>
  <si>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</si>
  <si>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</si>
  <si>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</si>
  <si>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</si>
  <si>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</si>
  <si>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</si>
  <si>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</si>
  <si>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</si>
  <si>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</si>
  <si>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</si>
  <si>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</si>
  <si>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</si>
  <si>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</si>
  <si>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</si>
  <si>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</si>
  <si>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</si>
  <si>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</si>
  <si>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</si>
  <si>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</si>
  <si>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</si>
  <si>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</si>
  <si>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</si>
  <si>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</si>
  <si>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</si>
  <si>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</si>
  <si>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</si>
  <si>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</si>
  <si>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</si>
  <si>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</si>
  <si>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</si>
  <si>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</si>
  <si>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</si>
  <si>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</si>
  <si>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</si>
  <si>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</si>
  <si>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</si>
  <si>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</si>
  <si>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</si>
  <si>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</si>
  <si>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</si>
  <si>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</si>
  <si>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</si>
  <si>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</si>
  <si>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</si>
  <si>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</si>
  <si>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</si>
  <si>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</si>
  <si>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</si>
  <si>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</si>
  <si>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</si>
  <si>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</si>
  <si>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</si>
  <si>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</si>
  <si>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</si>
  <si>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</si>
  <si>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</si>
  <si>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</si>
  <si>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</si>
  <si>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</si>
  <si>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</si>
  <si>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</si>
  <si>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</si>
  <si>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</si>
  <si>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</si>
  <si>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</si>
  <si>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</si>
  <si>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</si>
  <si>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</si>
  <si>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</si>
  <si>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</si>
  <si>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</si>
  <si>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</si>
  <si>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</si>
  <si>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</si>
  <si>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</si>
  <si>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</si>
  <si>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</si>
  <si>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</si>
  <si>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</si>
  <si>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</si>
  <si>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</si>
  <si>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</si>
  <si>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</si>
  <si>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</si>
  <si>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</si>
  <si>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</si>
  <si>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</si>
  <si>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</si>
  <si>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</si>
  <si>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</si>
  <si>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</si>
  <si>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</si>
  <si>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</si>
  <si>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</si>
  <si>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</si>
  <si>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</si>
  <si>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</si>
  <si>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</si>
  <si>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</si>
  <si>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</si>
  <si>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</si>
  <si>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</si>
  <si>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</si>
  <si>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</si>
  <si>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</si>
  <si>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</si>
  <si>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</si>
  <si>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</si>
  <si>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</si>
  <si>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</si>
  <si>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</si>
  <si>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</si>
  <si>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</si>
  <si>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</si>
  <si>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</si>
  <si>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</si>
  <si>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</si>
  <si>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</si>
  <si>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</si>
  <si>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</si>
  <si>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</si>
  <si>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</si>
  <si>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</si>
  <si>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</si>
  <si>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</si>
  <si>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</si>
  <si>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</si>
  <si>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</si>
  <si>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</si>
  <si>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</si>
  <si>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</si>
  <si>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</si>
  <si>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</si>
  <si>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</si>
  <si>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</si>
  <si>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</si>
  <si>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</si>
  <si>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</si>
  <si>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</si>
  <si>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</si>
  <si>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</si>
  <si>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</si>
  <si>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</si>
  <si>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</si>
  <si>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</si>
  <si>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</si>
  <si>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</si>
  <si>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</si>
  <si>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</si>
  <si>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</si>
  <si>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</si>
  <si>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</si>
  <si>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</si>
  <si>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</si>
  <si>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</si>
  <si>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</si>
  <si>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</si>
  <si>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</si>
  <si>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</si>
  <si>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</si>
  <si>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</si>
  <si>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</si>
  <si>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</si>
  <si>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</si>
  <si>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</si>
  <si>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</si>
  <si>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</si>
  <si>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</si>
  <si>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</si>
  <si>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</si>
  <si>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</si>
  <si>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</si>
  <si>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</si>
  <si>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</si>
  <si>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</si>
  <si>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</si>
  <si>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</si>
  <si>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</si>
  <si>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</si>
  <si>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</si>
  <si>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</si>
  <si>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</si>
  <si>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</si>
  <si>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</si>
  <si>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</si>
  <si>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</si>
  <si>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</si>
  <si>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</si>
  <si>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</si>
  <si>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</si>
  <si>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</si>
  <si>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</si>
  <si>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</si>
  <si>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</si>
  <si>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</si>
  <si>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</si>
  <si>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</si>
  <si>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</si>
  <si>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</si>
  <si>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</si>
  <si>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</si>
  <si>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</si>
  <si>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</si>
  <si>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</si>
  <si>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</si>
  <si>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</si>
  <si>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</si>
  <si>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</si>
  <si>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</si>
  <si>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</si>
  <si>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</si>
  <si>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</si>
  <si>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</si>
  <si>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</si>
  <si>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</si>
  <si>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</si>
  <si>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</si>
  <si>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</si>
  <si>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</si>
  <si>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</si>
  <si>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</si>
  <si>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</si>
  <si>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</si>
  <si>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</si>
  <si>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</si>
  <si>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</si>
  <si>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</si>
  <si>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</si>
  <si>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</si>
  <si>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</si>
  <si>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</si>
  <si>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</si>
  <si>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</si>
  <si>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</si>
  <si>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</si>
  <si>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</si>
  <si>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</si>
  <si>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</si>
  <si>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</si>
  <si>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</si>
  <si>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</si>
  <si>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</si>
  <si>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</si>
  <si>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</si>
  <si>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</si>
  <si>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</si>
  <si>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</si>
  <si>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</si>
  <si>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</si>
  <si>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</si>
  <si>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</si>
  <si>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</si>
  <si>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</si>
  <si>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</si>
  <si>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</si>
  <si>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</si>
  <si>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</si>
  <si>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</si>
  <si>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</si>
  <si>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</si>
  <si>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</si>
  <si>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</si>
  <si>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</si>
  <si>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</si>
  <si>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</si>
  <si>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</si>
  <si>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</si>
  <si>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</si>
  <si>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</si>
  <si>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</si>
  <si>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</si>
  <si>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</si>
  <si>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</si>
  <si>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</si>
  <si>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</si>
  <si>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</si>
  <si>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</si>
  <si>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</si>
  <si>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</si>
  <si>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</si>
  <si>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</si>
  <si>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</si>
  <si>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</si>
  <si>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</si>
  <si>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</si>
  <si>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</si>
  <si>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</si>
  <si>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</si>
  <si>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</si>
  <si>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</si>
  <si>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</si>
  <si>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</si>
  <si>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</si>
  <si>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</si>
  <si>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</si>
  <si>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</si>
  <si>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</si>
  <si>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</si>
  <si>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</si>
  <si>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</si>
  <si>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</si>
  <si>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</si>
  <si>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</si>
  <si>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</si>
  <si>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</si>
  <si>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</si>
  <si>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</si>
  <si>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</si>
  <si>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</si>
  <si>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</si>
  <si>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</si>
  <si>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</si>
  <si>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</si>
  <si>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</si>
  <si>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</si>
  <si>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</si>
  <si>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</si>
  <si>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</si>
  <si>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</si>
  <si>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</si>
  <si>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</si>
  <si>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</si>
  <si>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</si>
  <si>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</si>
  <si>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</si>
  <si>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</si>
  <si>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</si>
  <si>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</si>
  <si>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</si>
  <si>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</si>
  <si>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</si>
  <si>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</si>
  <si>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</si>
  <si>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</si>
  <si>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</si>
  <si>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</si>
  <si>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</si>
  <si>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</si>
  <si>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</si>
  <si>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</si>
  <si>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</si>
  <si>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</si>
  <si>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</si>
  <si>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</si>
  <si>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</si>
  <si>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</si>
  <si>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</si>
  <si>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</si>
  <si>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</si>
  <si>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</si>
  <si>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</si>
  <si>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</si>
  <si>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</si>
  <si>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</si>
  <si>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</si>
  <si>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</si>
  <si>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</si>
  <si>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</si>
  <si>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</si>
  <si>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</si>
  <si>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</si>
  <si>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</si>
  <si>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</si>
  <si>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</si>
  <si>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</si>
  <si>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</si>
  <si>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</si>
  <si>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</si>
  <si>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</si>
  <si>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</si>
  <si>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</si>
  <si>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</si>
  <si>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</si>
  <si>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</si>
  <si>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</si>
  <si>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</si>
  <si>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</si>
  <si>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</si>
  <si>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</si>
  <si>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</si>
  <si>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</si>
  <si>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</si>
  <si>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</si>
  <si>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</si>
  <si>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</si>
  <si>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</si>
  <si>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</si>
  <si>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</si>
  <si>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</si>
  <si>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</si>
  <si>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</si>
  <si>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</si>
  <si>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</si>
  <si>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</si>
  <si>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</si>
  <si>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</si>
  <si>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</si>
  <si>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</si>
  <si>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</si>
  <si>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</si>
  <si>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</si>
  <si>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</si>
  <si>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</si>
  <si>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</si>
  <si>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</si>
  <si>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</si>
  <si>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</si>
  <si>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</si>
  <si>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</si>
  <si>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</si>
  <si>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</si>
  <si>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</si>
  <si>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</si>
  <si>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</si>
  <si>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</si>
  <si>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</si>
  <si>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</si>
  <si>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</si>
  <si>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</si>
  <si>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</si>
  <si>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</si>
  <si>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</si>
  <si>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</si>
  <si>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</si>
  <si>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</si>
  <si>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</si>
  <si>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</si>
  <si>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</si>
  <si>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</si>
  <si>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</si>
  <si>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</si>
  <si>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</si>
  <si>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</si>
  <si>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</si>
  <si>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</si>
  <si>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</si>
  <si>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</si>
  <si>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</si>
  <si>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</si>
  <si>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</si>
  <si>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</si>
  <si>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</si>
  <si>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</si>
  <si>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</si>
  <si>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</si>
  <si>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</si>
  <si>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</si>
  <si>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</si>
  <si>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</si>
  <si>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</si>
  <si>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</si>
  <si>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</si>
  <si>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</si>
  <si>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</si>
  <si>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</si>
  <si>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</si>
  <si>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</si>
  <si>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</si>
  <si>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</si>
  <si>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</si>
  <si>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</si>
  <si>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</si>
  <si>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</si>
  <si>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</si>
  <si>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</si>
  <si>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</si>
  <si>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</si>
  <si>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</si>
  <si>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</si>
  <si>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</si>
  <si>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</si>
  <si>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</si>
  <si>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</si>
  <si>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</si>
  <si>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</si>
  <si>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</si>
  <si>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</si>
  <si>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</si>
  <si>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</si>
  <si>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</si>
  <si>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</si>
  <si>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</si>
  <si>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</si>
  <si>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</si>
  <si>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</si>
  <si>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</si>
  <si>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</si>
  <si>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</si>
  <si>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</si>
  <si>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</si>
  <si>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</si>
  <si>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</si>
  <si>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</si>
  <si>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</si>
  <si>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</si>
  <si>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</si>
  <si>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</si>
  <si>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</si>
  <si>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</si>
  <si>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</si>
  <si>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</si>
  <si>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</si>
  <si>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</si>
  <si>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</si>
  <si>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</si>
  <si>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</si>
  <si>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</si>
  <si>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</si>
  <si>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</si>
  <si>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</si>
  <si>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</si>
  <si>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</si>
  <si>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</si>
  <si>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</si>
  <si>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</si>
  <si>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</si>
  <si>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</si>
  <si>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</si>
  <si>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</si>
  <si>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</si>
  <si>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</si>
  <si>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</si>
  <si>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</si>
  <si>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</si>
  <si>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</si>
  <si>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</si>
  <si>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</si>
  <si>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</si>
  <si>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</si>
  <si>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</si>
  <si>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</si>
  <si>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</si>
  <si>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</si>
  <si>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</si>
  <si>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</si>
  <si>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</si>
  <si>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</si>
  <si>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</si>
  <si>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</si>
  <si>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</si>
  <si>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</si>
  <si>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</si>
  <si>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</si>
  <si>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</si>
  <si>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</si>
  <si>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</si>
  <si>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</si>
  <si>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</si>
  <si>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</si>
  <si>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</si>
  <si>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</si>
  <si>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</si>
  <si>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</si>
  <si>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</si>
  <si>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</si>
  <si>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</si>
  <si>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</si>
  <si>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</si>
  <si>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</si>
  <si>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</si>
  <si>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</si>
  <si>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</si>
  <si>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</si>
  <si>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</si>
  <si>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</si>
  <si>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</si>
  <si>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</si>
  <si>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</si>
  <si>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</si>
  <si>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</si>
  <si>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</si>
  <si>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</si>
  <si>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</si>
  <si>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</si>
  <si>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</si>
  <si>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</si>
  <si>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</si>
  <si>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</si>
  <si>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</si>
  <si>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</si>
  <si>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</si>
  <si>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</si>
  <si>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</si>
  <si>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</si>
  <si>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</si>
  <si>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</si>
  <si>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</si>
  <si>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</si>
  <si>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</si>
  <si>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</si>
  <si>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</si>
  <si>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</si>
  <si>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</si>
  <si>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</si>
  <si>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</si>
  <si>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</si>
  <si>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</si>
  <si>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</si>
  <si>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</si>
  <si>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</si>
  <si>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</si>
  <si>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</si>
  <si>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</si>
  <si>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</si>
  <si>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</si>
  <si>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</si>
  <si>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</si>
  <si>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</si>
  <si>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</si>
  <si>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</si>
  <si>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</si>
  <si>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</si>
  <si>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</si>
  <si>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</si>
  <si>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</si>
  <si>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</si>
  <si>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</si>
  <si>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</si>
  <si>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</si>
  <si>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</si>
  <si>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</si>
  <si>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</si>
  <si>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</si>
  <si>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</si>
  <si>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</si>
  <si>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</si>
  <si>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</si>
  <si>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</si>
  <si>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</si>
  <si>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</si>
  <si>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</si>
  <si>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</si>
  <si>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</si>
  <si>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</si>
  <si>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</si>
  <si>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</si>
  <si>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</si>
  <si>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</si>
  <si>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</si>
  <si>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</si>
  <si>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</si>
  <si>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</si>
  <si>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</si>
  <si>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</si>
  <si>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</si>
  <si>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</si>
  <si>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</si>
  <si>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</si>
  <si>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</si>
  <si>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</si>
  <si>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</si>
  <si>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</si>
  <si>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</si>
  <si>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</si>
  <si>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</si>
  <si>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</si>
  <si>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</si>
  <si>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</si>
  <si>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</si>
  <si>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</si>
  <si>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</si>
  <si>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</si>
  <si>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</si>
  <si>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</si>
  <si>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</si>
  <si>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</si>
  <si>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</si>
  <si>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</si>
  <si>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</si>
  <si>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</si>
  <si>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</si>
  <si>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</si>
  <si>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</si>
  <si>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</si>
  <si>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</si>
  <si>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</si>
  <si>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</si>
  <si>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</si>
  <si>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</si>
  <si>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</si>
  <si>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</si>
  <si>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</si>
  <si>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</si>
  <si>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</si>
  <si>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</si>
  <si>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</si>
  <si>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</si>
  <si>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</si>
  <si>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</si>
  <si>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</si>
  <si>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</si>
  <si>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</si>
  <si>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</si>
  <si>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</si>
  <si>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</si>
  <si>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</si>
  <si>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</si>
  <si>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</si>
  <si>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</si>
  <si>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</si>
  <si>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</si>
  <si>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</si>
  <si>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</si>
  <si>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</si>
  <si>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</si>
  <si>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</si>
  <si>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</si>
  <si>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</si>
  <si>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</si>
  <si>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</si>
  <si>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</si>
  <si>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</si>
  <si>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</si>
  <si>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</si>
  <si>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</si>
  <si>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</si>
  <si>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</si>
  <si>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</si>
  <si>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</si>
  <si>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</si>
  <si>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</si>
  <si>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</si>
  <si>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</si>
  <si>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</si>
  <si>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</si>
  <si>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</si>
  <si>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</si>
  <si>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</si>
  <si>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</si>
  <si>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</si>
  <si>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</si>
  <si>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</si>
  <si>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</si>
  <si>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</si>
  <si>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</si>
  <si>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</si>
  <si>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</si>
  <si>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</si>
  <si>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</si>
  <si>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</si>
  <si>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</si>
  <si>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</si>
  <si>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</si>
  <si>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</si>
  <si>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</si>
  <si>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</si>
  <si>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</si>
  <si>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</si>
  <si>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</si>
  <si>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</si>
  <si>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</si>
  <si>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</si>
  <si>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</si>
  <si>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</si>
  <si>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</si>
  <si>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</si>
  <si>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</si>
  <si>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</si>
  <si>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</si>
  <si>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</si>
  <si>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</si>
  <si>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</si>
  <si>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</si>
  <si>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</si>
  <si>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</si>
  <si>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</si>
  <si>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</si>
  <si>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</si>
  <si>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</si>
  <si>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</si>
  <si>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</si>
  <si>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</si>
  <si>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</si>
  <si>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</si>
  <si>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</si>
  <si>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</si>
  <si>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</si>
  <si>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</si>
  <si>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</si>
  <si>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</si>
  <si>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</si>
  <si>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</si>
  <si>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</si>
  <si>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</si>
  <si>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</si>
  <si>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</si>
  <si>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</si>
  <si>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</si>
  <si>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</si>
  <si>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</si>
  <si>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</si>
  <si>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</si>
  <si>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</si>
  <si>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</si>
  <si>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</si>
  <si>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</si>
  <si>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</si>
  <si>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</si>
  <si>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</si>
  <si>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</si>
  <si>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</si>
  <si>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</si>
  <si>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</si>
  <si>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</si>
  <si>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</si>
  <si>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</si>
  <si>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</si>
  <si>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</si>
  <si>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</si>
  <si>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</si>
  <si>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</si>
  <si>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</si>
  <si>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</si>
  <si>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</si>
  <si>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</si>
  <si>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</si>
  <si>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</si>
  <si>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</si>
  <si>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</si>
  <si>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</si>
  <si>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</si>
  <si>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</si>
  <si>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</si>
  <si>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</si>
  <si>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</si>
  <si>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</si>
  <si>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</si>
  <si>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</si>
  <si>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</si>
  <si>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</si>
  <si>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</si>
  <si>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</si>
  <si>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</si>
  <si>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</si>
  <si>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</si>
  <si>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</si>
  <si>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</si>
  <si>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</si>
  <si>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</si>
  <si>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</si>
  <si>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</si>
  <si>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</si>
  <si>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</si>
  <si>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</si>
  <si>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</si>
  <si>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</si>
  <si>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</si>
  <si>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</si>
  <si>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</si>
  <si>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</si>
  <si>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</si>
  <si>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</si>
  <si>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</si>
  <si>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</si>
  <si>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</si>
  <si>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</si>
  <si>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</si>
  <si>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</si>
  <si>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</si>
  <si>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</si>
  <si>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</si>
  <si>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</si>
  <si>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</si>
  <si>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</si>
  <si>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</si>
  <si>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</si>
  <si>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</si>
  <si>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</si>
  <si>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</si>
  <si>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</si>
  <si>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</si>
  <si>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</si>
  <si>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</si>
  <si>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</si>
  <si>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</si>
  <si>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</si>
  <si>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</si>
  <si>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</si>
  <si>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</si>
  <si>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</si>
  <si>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</si>
  <si>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</si>
  <si>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</si>
  <si>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</si>
  <si>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</si>
  <si>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</si>
  <si>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</si>
  <si>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</si>
  <si>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</si>
  <si>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</si>
  <si>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</si>
  <si>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</si>
  <si>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</si>
  <si>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</si>
  <si>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</si>
  <si>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</si>
  <si>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</si>
  <si>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</si>
  <si>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</si>
  <si>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</si>
  <si>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</si>
  <si>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</si>
  <si>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</si>
  <si>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</si>
  <si>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</si>
  <si>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</si>
  <si>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</si>
  <si>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</si>
  <si>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</si>
  <si>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</si>
  <si>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</si>
  <si>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</si>
  <si>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</si>
  <si>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</si>
  <si>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</si>
  <si>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</si>
  <si>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</si>
  <si>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</si>
  <si>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</si>
  <si>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</si>
  <si>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</si>
  <si>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</si>
  <si>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</si>
  <si>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</si>
  <si>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</si>
  <si>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</si>
  <si>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</si>
  <si>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</si>
  <si>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</si>
  <si>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</si>
  <si>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</si>
  <si>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</si>
  <si>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</si>
  <si>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</si>
  <si>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</si>
  <si>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</si>
  <si>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</si>
  <si>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</si>
  <si>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</si>
  <si>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</si>
  <si>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</si>
  <si>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</si>
  <si>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</si>
  <si>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</si>
  <si>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</si>
  <si>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</si>
  <si>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</si>
  <si>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</si>
  <si>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</si>
  <si>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</si>
  <si>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</si>
  <si>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</si>
  <si>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</si>
  <si>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</si>
  <si>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</si>
  <si>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</si>
  <si>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</si>
  <si>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</si>
  <si>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</si>
  <si>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</si>
  <si>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</si>
  <si>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</si>
  <si>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</si>
  <si>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</si>
  <si>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</si>
  <si>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</si>
  <si>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</si>
  <si>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</si>
  <si>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</si>
  <si>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</si>
  <si>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</si>
  <si>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</si>
  <si>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</si>
  <si>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</si>
  <si>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</si>
  <si>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</si>
  <si>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</si>
  <si>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</si>
  <si>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</si>
  <si>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</si>
  <si>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</si>
  <si>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</si>
  <si>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</si>
  <si>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</si>
  <si>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</si>
  <si>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</si>
  <si>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</si>
  <si>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</si>
  <si>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</si>
  <si>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</si>
  <si>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</si>
  <si>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</si>
  <si>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</si>
  <si>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</si>
  <si>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</si>
  <si>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</si>
  <si>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</si>
  <si>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</si>
  <si>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</si>
  <si>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</si>
  <si>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</si>
  <si>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</si>
  <si>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</si>
  <si>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</si>
  <si>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</si>
  <si>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</si>
  <si>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</si>
  <si>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</si>
  <si>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</si>
  <si>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</si>
  <si>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</si>
  <si>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</si>
  <si>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</si>
  <si>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</si>
  <si>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</si>
  <si>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</si>
  <si>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</si>
  <si>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</si>
  <si>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</si>
  <si>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</si>
  <si>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</si>
  <si>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</si>
  <si>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</si>
  <si>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</si>
  <si>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</si>
  <si>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</si>
  <si>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</si>
  <si>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</si>
  <si>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</si>
  <si>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</si>
  <si>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</si>
  <si>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</si>
  <si>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</si>
  <si>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</si>
  <si>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</si>
  <si>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</si>
  <si>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</si>
  <si>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</si>
  <si>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</si>
  <si>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</si>
  <si>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</si>
  <si>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</si>
  <si>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</si>
  <si>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</si>
  <si>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</si>
  <si>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</si>
  <si>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</si>
  <si>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</si>
  <si>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</si>
  <si>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</si>
  <si>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</si>
  <si>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</si>
  <si>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</si>
  <si>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</si>
  <si>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</si>
  <si>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</si>
  <si>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</si>
  <si>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</si>
  <si>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</si>
  <si>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</si>
  <si>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</si>
  <si>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</si>
  <si>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</si>
  <si>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</si>
  <si>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</si>
  <si>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</si>
  <si>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</si>
  <si>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</si>
  <si>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</si>
  <si>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</si>
  <si>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</si>
  <si>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</si>
  <si>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</si>
  <si>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</si>
  <si>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</si>
  <si>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</si>
  <si>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</si>
  <si>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</si>
  <si>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</si>
  <si>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</si>
  <si>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</si>
  <si>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</si>
  <si>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</si>
  <si>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</si>
  <si>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</si>
  <si>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</si>
  <si>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</si>
  <si>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</si>
  <si>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</si>
  <si>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</si>
  <si>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</si>
  <si>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</si>
  <si>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</si>
  <si>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</si>
  <si>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</si>
  <si>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</si>
  <si>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</si>
  <si>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</si>
  <si>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</si>
  <si>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</si>
  <si>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</si>
  <si>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</si>
  <si>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</si>
  <si>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</si>
  <si>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</si>
  <si>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</si>
  <si>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</si>
  <si>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</si>
  <si>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</si>
  <si>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</si>
  <si>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</si>
  <si>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</si>
  <si>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</si>
  <si>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</si>
  <si>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</si>
  <si>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</si>
  <si>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</si>
  <si>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</si>
  <si>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</si>
  <si>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</si>
  <si>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</si>
  <si>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</si>
  <si>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</si>
  <si>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</si>
  <si>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</si>
  <si>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</si>
  <si>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</si>
  <si>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</si>
  <si>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</si>
  <si>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</si>
  <si>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</si>
  <si>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</si>
  <si>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</si>
  <si>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</si>
  <si>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</si>
  <si>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</si>
  <si>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</si>
  <si>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</si>
  <si>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</si>
  <si>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</si>
  <si>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</si>
  <si>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</si>
  <si>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</si>
  <si>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</si>
  <si>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</si>
  <si>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</si>
  <si>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</si>
  <si>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</si>
  <si>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</si>
  <si>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</si>
  <si>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</si>
  <si>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</si>
  <si>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</si>
  <si>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</si>
  <si>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</si>
  <si>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</si>
  <si>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</si>
  <si>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</si>
  <si>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</si>
  <si>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</si>
  <si>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</si>
  <si>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</si>
  <si>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</si>
  <si>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</si>
  <si>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</si>
  <si>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</si>
  <si>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</si>
  <si>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</si>
  <si>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</si>
  <si>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</si>
  <si>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</si>
  <si>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</si>
  <si>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</si>
  <si>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</si>
  <si>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</si>
  <si>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</si>
  <si>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</si>
  <si>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</si>
  <si>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</si>
  <si>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</si>
  <si>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</si>
  <si>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</si>
  <si>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</si>
  <si>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</si>
  <si>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</si>
  <si>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</si>
  <si>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</si>
  <si>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</si>
  <si>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</si>
  <si>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</si>
  <si>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</si>
  <si>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</si>
  <si>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</si>
  <si>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</si>
  <si>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</si>
  <si>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</si>
  <si>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</si>
  <si>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</si>
  <si>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</si>
  <si>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</si>
  <si>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</si>
  <si>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</si>
  <si>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</si>
  <si>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</si>
  <si>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</si>
  <si>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</si>
  <si>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</si>
  <si>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</si>
  <si>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</si>
  <si>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</si>
  <si>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</si>
  <si>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</si>
  <si>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</si>
  <si>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</si>
  <si>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</si>
  <si>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</si>
  <si>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</si>
  <si>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</si>
  <si>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</si>
  <si>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</si>
  <si>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</si>
  <si>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</si>
  <si>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</si>
  <si>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</si>
  <si>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</si>
  <si>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</si>
  <si>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</si>
  <si>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</si>
  <si>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</si>
  <si>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</si>
  <si>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</si>
  <si>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</si>
  <si>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</si>
  <si>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</si>
  <si>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</si>
  <si>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</si>
  <si>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</si>
  <si>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</si>
  <si>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</si>
  <si>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</si>
  <si>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</si>
  <si>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</si>
  <si>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</si>
  <si>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</si>
  <si>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</si>
  <si>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</si>
  <si>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</si>
  <si>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</si>
  <si>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</si>
  <si>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</si>
  <si>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</si>
  <si>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</si>
  <si>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</si>
  <si>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</si>
  <si>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</si>
  <si>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</si>
  <si>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</si>
  <si>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</si>
  <si>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</si>
  <si>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</si>
  <si>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</si>
  <si>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</si>
  <si>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</si>
  <si>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</si>
  <si>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</si>
  <si>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</si>
  <si>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</si>
  <si>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</si>
  <si>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</si>
  <si>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</si>
  <si>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</si>
  <si>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</si>
  <si>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</si>
  <si>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</si>
  <si>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</si>
  <si>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</si>
  <si>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</si>
  <si>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</si>
  <si>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</si>
  <si>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</si>
  <si>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</si>
  <si>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</si>
  <si>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</si>
  <si>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</si>
  <si>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</si>
  <si>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</si>
  <si>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</si>
  <si>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</si>
  <si>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</si>
  <si>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</si>
  <si>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</si>
  <si>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</si>
  <si>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</si>
  <si>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</si>
  <si>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</si>
  <si>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</si>
  <si>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</si>
  <si>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</si>
  <si>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</si>
  <si>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</si>
  <si>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</si>
  <si>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</si>
  <si>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</si>
  <si>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</si>
  <si>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</si>
  <si>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</si>
  <si>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</si>
  <si>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</si>
  <si>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</si>
  <si>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</si>
  <si>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</si>
  <si>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</si>
  <si>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</si>
  <si>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</si>
  <si>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</si>
  <si>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</si>
  <si>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</si>
  <si>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</si>
  <si>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</si>
  <si>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</si>
  <si>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</si>
  <si>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</si>
  <si>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</si>
  <si>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</si>
  <si>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</si>
  <si>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</si>
  <si>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</si>
  <si>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</si>
  <si>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</si>
  <si>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</si>
  <si>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</si>
  <si>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</si>
  <si>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</si>
  <si>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</si>
  <si>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</si>
  <si>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</si>
  <si>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</si>
  <si>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</si>
  <si>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</si>
  <si>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</si>
  <si>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</si>
  <si>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</si>
  <si>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</si>
  <si>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</si>
  <si>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</si>
  <si>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</si>
  <si>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</si>
  <si>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</si>
  <si>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</si>
  <si>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</si>
  <si>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</si>
  <si>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</si>
  <si>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</si>
  <si>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</si>
  <si>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</si>
  <si>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</si>
  <si>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</si>
  <si>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</si>
  <si>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</si>
  <si>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</si>
  <si>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</si>
  <si>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</si>
  <si>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</si>
  <si>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</si>
  <si>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</si>
  <si>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</si>
  <si>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</si>
  <si>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</si>
  <si>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</si>
  <si>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</si>
  <si>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</si>
  <si>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</si>
  <si>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</si>
  <si>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</si>
  <si>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</si>
  <si>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</si>
  <si>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</si>
  <si>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</si>
  <si>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</si>
  <si>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</si>
  <si>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</si>
  <si>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</si>
  <si>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</si>
  <si>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</si>
  <si>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</si>
  <si>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</si>
  <si>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</si>
  <si>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</si>
  <si>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</si>
  <si>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</si>
  <si>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</si>
  <si>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</si>
  <si>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</si>
  <si>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</si>
  <si>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</si>
  <si>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</si>
  <si>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</si>
  <si>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</si>
  <si>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</si>
  <si>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</si>
  <si>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</si>
  <si>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</si>
  <si>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</si>
  <si>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</si>
  <si>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</si>
  <si>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</si>
  <si>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</si>
  <si>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</si>
  <si>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</si>
  <si>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</si>
  <si>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</si>
  <si>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</si>
  <si>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</si>
  <si>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</si>
  <si>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</si>
  <si>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</si>
  <si>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</si>
  <si>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</si>
  <si>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</si>
  <si>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</si>
  <si>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</si>
  <si>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</si>
  <si>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</si>
  <si>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</si>
  <si>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</si>
  <si>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</si>
  <si>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</si>
  <si>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</si>
  <si>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</si>
  <si>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</si>
  <si>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</si>
  <si>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</si>
  <si>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</si>
  <si>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</si>
  <si>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</si>
  <si>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</si>
  <si>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</si>
  <si>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</si>
  <si>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</si>
  <si>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</si>
  <si>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</si>
  <si>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</si>
  <si>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</si>
  <si>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</si>
  <si>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</si>
  <si>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</si>
  <si>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</si>
  <si>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</si>
  <si>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</si>
  <si>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</si>
  <si>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</si>
  <si>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</si>
  <si>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</si>
  <si>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</si>
  <si>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</si>
  <si>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</si>
  <si>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</si>
  <si>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</si>
  <si>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</si>
  <si>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</si>
  <si>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</si>
  <si>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</si>
  <si>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</si>
  <si>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</si>
  <si>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</si>
  <si>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</si>
  <si>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</si>
  <si>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</si>
  <si>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</si>
  <si>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</si>
  <si>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</si>
  <si>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</si>
  <si>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</si>
  <si>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</si>
  <si>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</si>
  <si>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</si>
  <si>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</si>
  <si>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</si>
  <si>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</si>
  <si>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</si>
  <si>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</si>
  <si>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</si>
  <si>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</si>
  <si>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</si>
  <si>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</si>
  <si>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</si>
  <si>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</si>
  <si>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</si>
  <si>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</si>
  <si>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</si>
  <si>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</si>
  <si>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</si>
  <si>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</si>
  <si>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</si>
  <si>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</si>
  <si>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</si>
  <si>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</si>
  <si>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</si>
  <si>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</si>
  <si>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</si>
  <si>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</si>
  <si>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</si>
  <si>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</si>
  <si>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</si>
  <si>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</si>
  <si>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</si>
  <si>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</si>
  <si>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</si>
  <si>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</si>
  <si>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</si>
  <si>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</si>
  <si>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</si>
  <si>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</si>
  <si>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</si>
  <si>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</si>
  <si>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</si>
  <si>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</si>
  <si>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</si>
  <si>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</si>
  <si>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</si>
  <si>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</si>
  <si>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</si>
  <si>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</si>
  <si>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</si>
  <si>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</si>
  <si>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</si>
  <si>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</si>
  <si>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</si>
  <si>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</si>
  <si>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</si>
  <si>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</si>
  <si>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</si>
  <si>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</si>
  <si>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</si>
  <si>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</si>
  <si>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</si>
  <si>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</si>
  <si>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</si>
  <si>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</si>
  <si>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</si>
  <si>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</si>
  <si>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</si>
  <si>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</si>
  <si>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</si>
  <si>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</si>
  <si>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</si>
  <si>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</si>
  <si>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</si>
  <si>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</si>
  <si>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</si>
  <si>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</si>
  <si>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</si>
  <si>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</si>
  <si>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</si>
  <si>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</si>
  <si>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</si>
  <si>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</si>
  <si>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</si>
  <si>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</si>
  <si>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</si>
  <si>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</si>
  <si>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</si>
  <si>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</si>
  <si>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</si>
  <si>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</si>
  <si>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</si>
  <si>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</si>
  <si>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</si>
  <si>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</si>
  <si>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</si>
  <si>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</si>
  <si>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</si>
  <si>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</si>
  <si>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</si>
  <si>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</si>
  <si>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</si>
  <si>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</si>
  <si>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</si>
  <si>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</si>
  <si>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</si>
  <si>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</si>
  <si>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</si>
  <si>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</si>
  <si>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</si>
  <si>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</si>
  <si>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</si>
  <si>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</si>
  <si>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</si>
  <si>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</si>
  <si>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</si>
  <si>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</si>
  <si>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</si>
  <si>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</si>
  <si>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</si>
  <si>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</si>
  <si>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</si>
  <si>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</si>
  <si>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</si>
  <si>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</si>
  <si>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</si>
  <si>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</si>
  <si>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</si>
  <si>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</si>
  <si>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</si>
  <si>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</si>
  <si>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</si>
  <si>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</si>
  <si>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</si>
  <si>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</si>
  <si>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</si>
  <si>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</si>
  <si>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</si>
  <si>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</si>
  <si>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</si>
  <si>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</si>
  <si>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</si>
  <si>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</si>
  <si>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</si>
  <si>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</si>
  <si>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</si>
  <si>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</si>
  <si>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</si>
  <si>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</si>
  <si>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</si>
  <si>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</si>
  <si>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</si>
  <si>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</si>
  <si>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</si>
  <si>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</si>
  <si>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</si>
  <si>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</si>
  <si>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</si>
  <si>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</si>
  <si>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</si>
  <si>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</si>
  <si>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</si>
  <si>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</si>
  <si>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</si>
  <si>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</si>
  <si>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</si>
  <si>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</si>
  <si>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</si>
  <si>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</si>
  <si>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</si>
  <si>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</si>
  <si>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</si>
  <si>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</si>
  <si>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</si>
  <si>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</si>
  <si>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</si>
  <si>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</si>
  <si>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</si>
  <si>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</si>
  <si>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</si>
  <si>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</si>
  <si>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</si>
  <si>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</si>
  <si>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</si>
  <si>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</si>
  <si>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</si>
  <si>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</si>
  <si>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</si>
  <si>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</si>
  <si>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</si>
  <si>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</si>
  <si>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</si>
  <si>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</si>
  <si>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</si>
  <si>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</si>
  <si>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</si>
  <si>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</si>
  <si>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</si>
  <si>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</si>
  <si>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</si>
  <si>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</si>
  <si>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</si>
  <si>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</si>
  <si>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</si>
  <si>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</si>
  <si>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</si>
  <si>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</si>
  <si>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</si>
  <si>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</si>
  <si>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</si>
  <si>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</si>
  <si>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</si>
  <si>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</si>
  <si>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</si>
  <si>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</si>
  <si>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</si>
  <si>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</si>
  <si>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</si>
  <si>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</si>
  <si>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</si>
  <si>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</si>
  <si>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</si>
  <si>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</si>
  <si>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</si>
  <si>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</si>
  <si>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</si>
  <si>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</si>
  <si>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</si>
  <si>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</si>
  <si>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</si>
  <si>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</si>
  <si>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</si>
  <si>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</si>
  <si>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</si>
  <si>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</si>
  <si>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</si>
  <si>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</si>
  <si>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</si>
  <si>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</si>
  <si>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</si>
  <si>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</si>
  <si>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</si>
  <si>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</si>
  <si>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</si>
  <si>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</si>
  <si>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</si>
  <si>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</si>
  <si>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</si>
  <si>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</si>
  <si>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</si>
  <si>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</si>
  <si>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</si>
  <si>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</si>
  <si>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</si>
  <si>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</si>
  <si>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</si>
  <si>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</si>
  <si>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</si>
  <si>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</si>
  <si>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</si>
  <si>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</si>
  <si>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</si>
  <si>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</si>
  <si>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</si>
  <si>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</si>
  <si>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</si>
  <si>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</si>
  <si>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</si>
  <si>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</si>
  <si>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</si>
  <si>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</si>
  <si>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</si>
  <si>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</si>
  <si>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</si>
  <si>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</si>
  <si>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</si>
  <si>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</si>
  <si>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</si>
  <si>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</si>
  <si>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</si>
  <si>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</si>
  <si>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</si>
  <si>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</si>
  <si>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</si>
  <si>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</si>
  <si>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</si>
  <si>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</si>
  <si>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</si>
  <si>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</si>
  <si>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</si>
  <si>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</si>
  <si>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</si>
  <si>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</si>
  <si>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</si>
  <si>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</si>
  <si>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</si>
  <si>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</si>
  <si>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</si>
  <si>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</si>
  <si>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</si>
  <si>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</si>
  <si>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</si>
  <si>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</si>
  <si>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</si>
  <si>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</si>
  <si>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</si>
  <si>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</si>
  <si>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</si>
  <si>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</si>
  <si>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</si>
  <si>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</si>
  <si>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</si>
  <si>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</si>
  <si>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</si>
  <si>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</si>
  <si>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</si>
  <si>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</si>
  <si>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</si>
  <si>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</si>
  <si>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</si>
  <si>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</si>
  <si>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</si>
  <si>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</si>
  <si>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</si>
  <si>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</si>
  <si>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</si>
  <si>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</si>
  <si>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</si>
  <si>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</si>
  <si>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</si>
  <si>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</si>
  <si>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</si>
  <si>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</si>
  <si>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</si>
  <si>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</si>
  <si>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</si>
  <si>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</si>
  <si>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</si>
  <si>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</si>
  <si>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</si>
  <si>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</si>
  <si>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</si>
  <si>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</si>
  <si>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</si>
  <si>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</si>
  <si>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</si>
  <si>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</si>
  <si>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</si>
  <si>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</si>
  <si>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</si>
  <si>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</si>
  <si>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</si>
  <si>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</si>
  <si>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</si>
  <si>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</si>
  <si>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</si>
  <si>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</si>
  <si>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</si>
  <si>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</si>
  <si>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</si>
  <si>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</si>
  <si>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</si>
  <si>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</si>
  <si>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</si>
  <si>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</si>
  <si>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</si>
  <si>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</si>
  <si>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</si>
  <si>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</si>
  <si>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</si>
  <si>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</si>
  <si>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</si>
  <si>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</si>
  <si>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</si>
  <si>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</si>
  <si>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</si>
  <si>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</si>
  <si>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</si>
  <si>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</si>
  <si>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</si>
  <si>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</si>
  <si>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</si>
  <si>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</si>
  <si>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</si>
  <si>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</si>
  <si>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</si>
  <si>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</si>
  <si>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</si>
  <si>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</si>
  <si>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</si>
  <si>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</si>
  <si>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</si>
  <si>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</si>
  <si>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</si>
  <si>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</si>
  <si>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</si>
  <si>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</si>
  <si>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</si>
  <si>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</si>
  <si>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</si>
  <si>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</si>
  <si>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</si>
  <si>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</si>
  <si>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</si>
  <si>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</si>
  <si>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</si>
  <si>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</si>
  <si>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</si>
  <si>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</si>
  <si>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</si>
  <si>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</si>
  <si>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</si>
  <si>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</si>
  <si>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</si>
  <si>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</si>
  <si>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</si>
  <si>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</si>
  <si>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</si>
  <si>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</si>
  <si>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</si>
  <si>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</si>
  <si>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</si>
  <si>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</si>
  <si>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</si>
  <si>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</si>
  <si>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</si>
  <si>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</si>
  <si>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</si>
  <si>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</si>
  <si>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</si>
  <si>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</si>
  <si>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</si>
  <si>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</si>
  <si>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</si>
  <si>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</si>
  <si>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</si>
  <si>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</si>
  <si>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</si>
  <si>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</si>
  <si>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</si>
  <si>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</si>
  <si>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</si>
  <si>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</si>
  <si>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</si>
  <si>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</si>
  <si>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</si>
  <si>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</si>
  <si>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</si>
  <si>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</si>
  <si>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</si>
  <si>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</si>
  <si>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</si>
  <si>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</si>
  <si>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</si>
  <si>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</si>
  <si>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</si>
  <si>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</si>
  <si>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</si>
  <si>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</si>
  <si>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</si>
  <si>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</si>
  <si>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</si>
  <si>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</si>
  <si>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</si>
  <si>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</si>
  <si>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</si>
  <si>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</si>
  <si>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</si>
  <si>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</si>
  <si>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</si>
  <si>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</si>
  <si>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</si>
  <si>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</si>
  <si>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</si>
  <si>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</si>
  <si>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</si>
  <si>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</si>
  <si>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</si>
  <si>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</si>
  <si>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</si>
  <si>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</si>
  <si>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</si>
  <si>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</si>
  <si>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</si>
  <si>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</si>
  <si>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</si>
  <si>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</si>
  <si>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</si>
  <si>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</si>
  <si>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</si>
  <si>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</si>
  <si>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</si>
  <si>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</si>
  <si>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</si>
  <si>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</si>
  <si>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</si>
  <si>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</si>
  <si>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</si>
  <si>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</si>
  <si>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</si>
  <si>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</si>
  <si>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</si>
  <si>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</si>
  <si>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</si>
  <si>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</si>
  <si>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</si>
  <si>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</si>
  <si>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</si>
  <si>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</si>
  <si>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</si>
  <si>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</si>
  <si>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</si>
  <si>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</si>
  <si>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</si>
  <si>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</si>
  <si>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</si>
  <si>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</si>
  <si>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</si>
  <si>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</si>
  <si>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</si>
  <si>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</si>
  <si>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</si>
  <si>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</si>
  <si>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</si>
  <si>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</si>
  <si>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</si>
  <si>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</si>
  <si>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</si>
  <si>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</si>
  <si>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</si>
  <si>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</si>
  <si>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</si>
  <si>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</si>
  <si>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</si>
  <si>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</si>
  <si>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</si>
  <si>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</si>
  <si>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</si>
  <si>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</si>
  <si>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</si>
  <si>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</si>
  <si>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</si>
  <si>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</si>
  <si>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</si>
  <si>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</si>
  <si>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</si>
  <si>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</si>
  <si>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</si>
  <si>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</si>
  <si>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</si>
  <si>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</si>
  <si>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</si>
  <si>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</si>
  <si>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</si>
  <si>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</si>
  <si>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</si>
  <si>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</si>
  <si>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</si>
  <si>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</si>
  <si>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</si>
  <si>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</si>
  <si>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</si>
  <si>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</si>
  <si>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</si>
  <si>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</si>
  <si>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</si>
  <si>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</si>
  <si>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</si>
  <si>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</si>
  <si>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</si>
  <si>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</si>
  <si>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</si>
  <si>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</si>
  <si>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</si>
  <si>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</si>
  <si>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</si>
  <si>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</si>
  <si>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</si>
  <si>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</si>
  <si>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</si>
  <si>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</si>
  <si>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</si>
  <si>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</si>
  <si>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</si>
  <si>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</si>
  <si>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</si>
  <si>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</si>
  <si>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</si>
  <si>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</si>
  <si>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</si>
  <si>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</si>
  <si>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</si>
  <si>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</si>
  <si>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</si>
  <si>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</si>
  <si>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</si>
  <si>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</si>
  <si>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</si>
  <si>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</si>
  <si>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</si>
  <si>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</si>
  <si>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</si>
  <si>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</si>
  <si>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</si>
  <si>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</si>
  <si>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</si>
  <si>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</si>
  <si>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</si>
  <si>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</si>
  <si>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</si>
  <si>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</si>
  <si>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</si>
  <si>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</si>
  <si>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</si>
  <si>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</si>
  <si>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</si>
  <si>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</si>
  <si>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</si>
  <si>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</si>
  <si>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</si>
  <si>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</si>
  <si>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</si>
  <si>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</si>
  <si>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</si>
  <si>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</si>
  <si>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</si>
  <si>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</si>
  <si>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</si>
  <si>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</si>
  <si>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</si>
  <si>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</si>
  <si>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</si>
  <si>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</si>
  <si>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</si>
  <si>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</si>
  <si>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</si>
  <si>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</si>
  <si>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</si>
  <si>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</si>
  <si>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</si>
  <si>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</si>
  <si>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</si>
  <si>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</si>
  <si>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</si>
  <si>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</si>
  <si>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</si>
  <si>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</si>
  <si>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</si>
  <si>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</si>
  <si>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</si>
  <si>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</si>
  <si>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</si>
  <si>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</si>
  <si>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</si>
  <si>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</si>
  <si>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</si>
  <si>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</si>
  <si>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</si>
  <si>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</si>
  <si>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</si>
  <si>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</si>
  <si>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</si>
  <si>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</si>
  <si>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</si>
  <si>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</si>
  <si>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</si>
  <si>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</si>
  <si>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</si>
  <si>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</si>
  <si>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</si>
  <si>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</si>
  <si>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</si>
  <si>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</si>
  <si>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</si>
  <si>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</si>
  <si>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</si>
  <si>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</si>
  <si>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</si>
  <si>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</si>
  <si>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</si>
  <si>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</si>
  <si>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</si>
  <si>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</si>
  <si>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</si>
  <si>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</si>
  <si>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</si>
  <si>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</si>
  <si>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</si>
  <si>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</si>
  <si>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</si>
  <si>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</si>
  <si>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</si>
  <si>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</si>
  <si>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</si>
  <si>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</si>
  <si>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</si>
  <si>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</si>
  <si>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</si>
  <si>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</si>
  <si>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</si>
  <si>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</si>
  <si>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</si>
  <si>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</si>
  <si>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</si>
  <si>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</si>
  <si>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</si>
  <si>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</si>
  <si>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</si>
  <si>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</si>
  <si>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</si>
  <si>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</si>
  <si>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</si>
  <si>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</si>
  <si>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</si>
  <si>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</si>
  <si>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</si>
  <si>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</si>
  <si>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</si>
  <si>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</si>
  <si>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</si>
  <si>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</si>
  <si>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</si>
  <si>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</si>
  <si>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</si>
  <si>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</si>
  <si>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</si>
  <si>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</si>
  <si>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</si>
  <si>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</si>
  <si>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</si>
  <si>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</si>
  <si>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</si>
  <si>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</si>
  <si>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</si>
  <si>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</si>
  <si>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</si>
  <si>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</si>
  <si>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</si>
  <si>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</si>
  <si>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</si>
  <si>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</si>
  <si>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</si>
  <si>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</si>
  <si>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</si>
  <si>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</si>
  <si>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</si>
  <si>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</si>
  <si>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</si>
  <si>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</si>
  <si>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</si>
  <si>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</si>
  <si>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</si>
  <si>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</si>
  <si>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</si>
  <si>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</si>
  <si>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</si>
  <si>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</si>
  <si>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</si>
  <si>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</si>
  <si>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</si>
  <si>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</si>
  <si>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</si>
  <si>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</si>
  <si>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</si>
  <si>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</si>
  <si>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</si>
  <si>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</si>
  <si>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</si>
  <si>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</si>
  <si>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</si>
  <si>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</si>
  <si>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</si>
  <si>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</si>
  <si>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</si>
  <si>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</si>
  <si>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</si>
  <si>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</si>
  <si>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</si>
  <si>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</si>
  <si>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</si>
  <si>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</si>
  <si>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</si>
  <si>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</si>
  <si>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</si>
  <si>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</si>
  <si>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</si>
  <si>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</si>
  <si>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</si>
  <si>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</si>
  <si>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</si>
  <si>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</si>
  <si>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</si>
  <si>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</si>
  <si>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</si>
  <si>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</si>
  <si>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</si>
  <si>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</si>
  <si>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</si>
  <si>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</si>
  <si>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</si>
  <si>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</si>
  <si>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</si>
  <si>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</si>
  <si>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</si>
  <si>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</si>
  <si>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</si>
  <si>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</si>
  <si>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</si>
  <si>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</si>
  <si>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</si>
  <si>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</si>
  <si>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</si>
  <si>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</si>
  <si>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</si>
  <si>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</si>
  <si>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</si>
  <si>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</si>
  <si>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</si>
  <si>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</si>
  <si>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</si>
  <si>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</si>
  <si>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</si>
  <si>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</si>
  <si>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</si>
  <si>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</si>
  <si>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</si>
  <si>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</si>
  <si>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</si>
  <si>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</si>
  <si>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</si>
  <si>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</si>
  <si>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</si>
  <si>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</si>
  <si>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</si>
  <si>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</si>
  <si>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</si>
  <si>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</si>
  <si>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</si>
  <si>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</si>
  <si>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</si>
  <si>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</si>
  <si>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</si>
  <si>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</si>
  <si>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</si>
  <si>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</si>
  <si>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</si>
  <si>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</si>
  <si>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</si>
  <si>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</si>
  <si>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</si>
  <si>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</si>
  <si>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</si>
  <si>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</si>
  <si>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</si>
  <si>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</si>
  <si>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</si>
  <si>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</si>
  <si>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</si>
  <si>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</si>
  <si>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</si>
  <si>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</si>
  <si>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</si>
  <si>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</si>
  <si>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</si>
  <si>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</si>
  <si>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</si>
  <si>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</si>
  <si>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</si>
  <si>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</si>
  <si>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</si>
  <si>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</si>
  <si>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</si>
  <si>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</si>
  <si>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</si>
  <si>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</si>
  <si>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</si>
  <si>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</si>
  <si>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</si>
  <si>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</si>
  <si>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</si>
  <si>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</si>
  <si>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</si>
  <si>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</si>
  <si>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</si>
  <si>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</si>
  <si>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</si>
  <si>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</si>
  <si>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</si>
  <si>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</si>
  <si>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</si>
  <si>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</si>
  <si>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</si>
  <si>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</si>
  <si>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</si>
  <si>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</si>
  <si>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</si>
  <si>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</si>
  <si>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</si>
  <si>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</si>
  <si>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</si>
  <si>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</si>
  <si>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</si>
  <si>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</si>
  <si>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</si>
  <si>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</si>
  <si>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</si>
  <si>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</si>
  <si>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</si>
  <si>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</si>
  <si>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</si>
  <si>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</si>
  <si>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</si>
  <si>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</si>
  <si>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</si>
  <si>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</si>
  <si>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</si>
  <si>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</si>
  <si>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</si>
  <si>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</si>
  <si>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</si>
  <si>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</si>
  <si>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</si>
  <si>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</si>
  <si>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</si>
  <si>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</si>
  <si>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</si>
  <si>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</si>
  <si>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</si>
  <si>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</si>
  <si>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</si>
  <si>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</si>
  <si>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</si>
  <si>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</si>
  <si>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</si>
  <si>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</si>
  <si>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</si>
  <si>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</si>
  <si>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</si>
  <si>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</si>
  <si>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</si>
  <si>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</si>
  <si>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</si>
  <si>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</si>
  <si>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</si>
  <si>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</si>
  <si>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</si>
  <si>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</si>
  <si>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</si>
  <si>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</si>
  <si>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</si>
  <si>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</si>
  <si>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</si>
  <si>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</si>
  <si>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</si>
  <si>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</si>
  <si>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</si>
  <si>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</si>
  <si>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</si>
  <si>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</si>
  <si>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</si>
  <si>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</si>
  <si>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</si>
  <si>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</si>
  <si>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</si>
  <si>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</si>
  <si>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</si>
  <si>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</si>
  <si>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</si>
  <si>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</si>
  <si>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</si>
  <si>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</si>
  <si>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</si>
  <si>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</si>
  <si>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</si>
  <si>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</si>
  <si>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</si>
  <si>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</si>
  <si>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</si>
  <si>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</si>
  <si>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</si>
  <si>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</si>
  <si>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</si>
  <si>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</si>
  <si>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</si>
  <si>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</si>
  <si>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</si>
  <si>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</si>
  <si>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</si>
  <si>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</si>
  <si>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</si>
  <si>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</si>
  <si>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</si>
  <si>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</si>
  <si>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</si>
  <si>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</si>
  <si>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</si>
  <si>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</si>
  <si>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</si>
  <si>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</si>
  <si>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</si>
  <si>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</si>
  <si>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</si>
  <si>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</si>
  <si>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</si>
  <si>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</si>
  <si>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</si>
  <si>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</si>
  <si>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</si>
  <si>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</si>
  <si>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</si>
  <si>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</si>
  <si>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</si>
  <si>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</si>
  <si>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</si>
  <si>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</si>
  <si>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</si>
  <si>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</si>
  <si>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</si>
  <si>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</si>
  <si>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</si>
  <si>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</si>
  <si>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</si>
  <si>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</si>
  <si>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</si>
  <si>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</si>
  <si>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</si>
  <si>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</si>
  <si>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</si>
  <si>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</si>
  <si>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</si>
  <si>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</si>
  <si>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</si>
  <si>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</si>
  <si>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</si>
  <si>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</si>
  <si>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</si>
  <si>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</si>
  <si>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</si>
  <si>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</si>
  <si>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</si>
  <si>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</si>
  <si>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</si>
  <si>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</si>
  <si>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</si>
  <si>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</si>
  <si>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</si>
  <si>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</si>
  <si>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</si>
  <si>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</si>
  <si>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</si>
  <si>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</si>
  <si>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</si>
  <si>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</si>
  <si>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</si>
  <si>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</si>
  <si>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</si>
  <si>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</si>
  <si>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</si>
  <si>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</si>
  <si>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</si>
  <si>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</si>
  <si>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</si>
  <si>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</si>
  <si>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</si>
  <si>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</si>
  <si>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</si>
  <si>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</si>
  <si>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</si>
  <si>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</si>
  <si>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</si>
  <si>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</si>
  <si>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</si>
  <si>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</si>
  <si>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</si>
  <si>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</si>
  <si>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</si>
  <si>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</si>
  <si>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</si>
  <si>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</si>
  <si>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</si>
  <si>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</si>
  <si>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</si>
  <si>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</si>
  <si>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</si>
  <si>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</si>
  <si>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</si>
  <si>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</si>
  <si>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</si>
  <si>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</si>
  <si>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</si>
  <si>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</si>
  <si>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</si>
  <si>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</si>
  <si>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</si>
  <si>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</si>
  <si>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</si>
  <si>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</si>
  <si>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</si>
  <si>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</si>
  <si>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</si>
  <si>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</si>
  <si>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</si>
  <si>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</si>
  <si>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</si>
  <si>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</si>
  <si>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</si>
  <si>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</si>
  <si>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</si>
  <si>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</si>
  <si>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</si>
  <si>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</si>
  <si>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</si>
  <si>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</si>
  <si>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</si>
  <si>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</si>
  <si>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</si>
  <si>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</si>
  <si>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</si>
  <si>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</si>
  <si>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</si>
  <si>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</si>
  <si>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</si>
  <si>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</si>
  <si>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</si>
  <si>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</si>
  <si>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</si>
  <si>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</si>
  <si>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</si>
  <si>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</si>
  <si>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</si>
  <si>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</si>
  <si>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</si>
  <si>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</si>
  <si>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</si>
  <si>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</si>
  <si>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</si>
  <si>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</si>
  <si>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</si>
  <si>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</si>
  <si>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</si>
  <si>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</si>
  <si>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</si>
  <si>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</si>
  <si>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</si>
  <si>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</si>
  <si>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</si>
  <si>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</si>
  <si>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</si>
  <si>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</si>
  <si>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</si>
  <si>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</si>
  <si>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</si>
  <si>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</si>
  <si>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</si>
  <si>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</si>
  <si>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</si>
  <si>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</si>
  <si>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</si>
  <si>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</si>
  <si>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</si>
  <si>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</si>
  <si>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</si>
  <si>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</si>
  <si>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</si>
  <si>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</si>
  <si>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</si>
  <si>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</si>
  <si>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</si>
  <si>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</si>
  <si>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</si>
  <si>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</si>
  <si>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</si>
  <si>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</si>
  <si>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</si>
  <si>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</si>
  <si>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</si>
  <si>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</si>
  <si>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</si>
  <si>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</si>
  <si>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</si>
  <si>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</si>
  <si>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</si>
  <si>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</si>
  <si>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</si>
  <si>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</si>
  <si>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</si>
  <si>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</si>
  <si>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</si>
  <si>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</si>
  <si>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</si>
  <si>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</si>
  <si>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</si>
  <si>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</si>
  <si>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</si>
  <si>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</si>
  <si>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</si>
  <si>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</si>
  <si>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</si>
  <si>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</si>
  <si>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</si>
  <si>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</si>
  <si>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</si>
  <si>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</si>
  <si>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</si>
  <si>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</si>
  <si>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</si>
  <si>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</si>
  <si>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</si>
  <si>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</si>
  <si>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</si>
  <si>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</si>
  <si>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</si>
  <si>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</si>
  <si>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</si>
  <si>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</si>
  <si>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</si>
  <si>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</si>
  <si>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</si>
  <si>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</si>
  <si>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</si>
  <si>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</si>
  <si>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</si>
  <si>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</si>
  <si>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</si>
  <si>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</si>
  <si>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</si>
  <si>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</si>
  <si>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</si>
  <si>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</si>
  <si>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</si>
  <si>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</si>
  <si>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</si>
  <si>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</si>
  <si>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</si>
  <si>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</si>
  <si>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</si>
  <si>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</si>
  <si>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</si>
  <si>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</si>
  <si>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</si>
  <si>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</si>
  <si>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</si>
  <si>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</si>
  <si>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</si>
  <si>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</si>
  <si>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</si>
  <si>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</si>
  <si>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</si>
  <si>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</si>
  <si>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</si>
  <si>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</si>
  <si>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</si>
  <si>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</si>
  <si>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</si>
  <si>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</si>
  <si>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</si>
  <si>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</si>
  <si>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</si>
  <si>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</si>
  <si>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</si>
  <si>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</si>
  <si>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</si>
  <si>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</si>
  <si>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</si>
  <si>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</si>
  <si>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</si>
  <si>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</si>
  <si>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</si>
  <si>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</si>
  <si>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</si>
  <si>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</si>
  <si>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</si>
  <si>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</si>
  <si>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</si>
  <si>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</si>
  <si>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</si>
  <si>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</si>
  <si>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</si>
  <si>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</si>
  <si>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</si>
  <si>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</si>
  <si>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</si>
  <si>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</si>
  <si>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</si>
  <si>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</si>
  <si>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</si>
  <si>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</si>
  <si>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</si>
  <si>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</si>
  <si>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</si>
  <si>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</si>
  <si>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</si>
  <si>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</si>
  <si>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</si>
  <si>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</si>
  <si>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</si>
  <si>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</si>
  <si>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</si>
  <si>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</si>
  <si>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</si>
  <si>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</si>
  <si>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</si>
  <si>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</si>
  <si>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</si>
  <si>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</si>
  <si>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</si>
  <si>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</si>
  <si>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</si>
  <si>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</si>
  <si>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</si>
  <si>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</si>
  <si>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</si>
  <si>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</si>
  <si>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</si>
  <si>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</si>
  <si>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</si>
  <si>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</si>
  <si>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</si>
  <si>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</si>
  <si>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</si>
  <si>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</si>
  <si>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</si>
  <si>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</si>
  <si>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</si>
  <si>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</si>
  <si>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</si>
  <si>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</si>
  <si>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</si>
  <si>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</si>
  <si>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</si>
  <si>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</si>
  <si>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</si>
  <si>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</si>
  <si>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</si>
  <si>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</si>
  <si>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</si>
  <si>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</si>
  <si>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</si>
  <si>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</si>
  <si>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</si>
  <si>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</si>
  <si>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</si>
  <si>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</si>
  <si>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</si>
  <si>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</si>
  <si>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</si>
  <si>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</si>
  <si>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</si>
  <si>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</si>
  <si>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</si>
  <si>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</si>
  <si>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</si>
  <si>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</si>
  <si>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</si>
  <si>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</si>
  <si>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</si>
  <si>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</si>
  <si>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</si>
  <si>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</si>
  <si>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</si>
  <si>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</si>
  <si>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</si>
  <si>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</si>
  <si>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</si>
  <si>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</si>
  <si>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</si>
  <si>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</si>
  <si>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</si>
  <si>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</si>
  <si>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</si>
  <si>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</si>
  <si>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</si>
  <si>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</si>
  <si>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</si>
  <si>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</si>
  <si>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</si>
  <si>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</si>
  <si>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</si>
  <si>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</si>
  <si>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</si>
  <si>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</si>
  <si>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</si>
  <si>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</si>
  <si>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</si>
  <si>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</si>
  <si>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</si>
  <si>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</si>
  <si>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</si>
  <si>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</si>
  <si>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</si>
  <si>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</si>
  <si>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</si>
  <si>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</si>
  <si>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</si>
  <si>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</si>
  <si>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</si>
  <si>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</si>
  <si>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</si>
  <si>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</si>
  <si>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</si>
  <si>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</si>
  <si>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</si>
  <si>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</si>
  <si>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</si>
  <si>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</si>
  <si>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</si>
  <si>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</si>
  <si>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</si>
  <si>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</si>
  <si>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</si>
  <si>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</si>
  <si>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</si>
  <si>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</si>
  <si>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</si>
  <si>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</si>
  <si>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</si>
  <si>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</si>
  <si>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</si>
  <si>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</si>
  <si>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</si>
  <si>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</si>
  <si>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</si>
  <si>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</si>
  <si>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</si>
  <si>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</si>
  <si>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</si>
  <si>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</si>
  <si>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</si>
  <si>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</si>
  <si>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</si>
  <si>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</si>
  <si>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</si>
  <si>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</si>
  <si>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</si>
  <si>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</si>
  <si>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</si>
  <si>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</si>
  <si>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</si>
  <si>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</si>
  <si>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</si>
  <si>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</si>
  <si>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</si>
  <si>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</si>
  <si>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</si>
  <si>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</si>
  <si>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</si>
  <si>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</si>
  <si>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</si>
  <si>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</si>
  <si>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</si>
  <si>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</si>
  <si>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</si>
  <si>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</si>
  <si>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</si>
  <si>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</si>
  <si>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</si>
  <si>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</si>
  <si>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</si>
  <si>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</si>
  <si>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</si>
  <si>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</si>
  <si>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</si>
  <si>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</si>
  <si>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</si>
  <si>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</si>
  <si>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</si>
  <si>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</si>
  <si>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</si>
  <si>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</si>
  <si>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</si>
  <si>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</si>
  <si>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</si>
  <si>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</si>
  <si>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</si>
  <si>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</si>
  <si>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</si>
  <si>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</si>
  <si>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</si>
  <si>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</si>
  <si>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</si>
  <si>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</si>
  <si>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</si>
  <si>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</si>
  <si>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</si>
  <si>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</si>
  <si>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</si>
  <si>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</si>
  <si>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</si>
  <si>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</si>
  <si>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</si>
  <si>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</si>
  <si>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</si>
  <si>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</si>
  <si>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</si>
  <si>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</si>
  <si>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</si>
  <si>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</si>
  <si>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</si>
  <si>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</si>
  <si>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</si>
  <si>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</si>
  <si>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</si>
  <si>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</si>
  <si>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</si>
  <si>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</si>
  <si>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</si>
  <si>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</si>
  <si>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</si>
  <si>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</si>
  <si>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</si>
  <si>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</si>
  <si>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</si>
  <si>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</si>
  <si>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</si>
  <si>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</si>
  <si>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</si>
  <si>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</si>
  <si>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</si>
  <si>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</si>
  <si>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</si>
  <si>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</si>
  <si>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</si>
  <si>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</si>
  <si>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</si>
  <si>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</si>
  <si>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</si>
  <si>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</si>
  <si>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</si>
  <si>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</si>
  <si>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</si>
  <si>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</si>
  <si>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</si>
  <si>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</si>
  <si>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</si>
  <si>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</si>
  <si>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</si>
  <si>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</si>
  <si>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</si>
  <si>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</si>
  <si>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</si>
  <si>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</si>
  <si>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</si>
  <si>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</si>
  <si>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</si>
  <si>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</si>
  <si>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</si>
  <si>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</si>
  <si>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</si>
  <si>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</si>
  <si>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</si>
  <si>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</si>
  <si>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</si>
  <si>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</si>
  <si>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</si>
  <si>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</si>
  <si>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</si>
  <si>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</si>
  <si>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</si>
  <si>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</si>
  <si>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</si>
  <si>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</si>
  <si>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</si>
  <si>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</si>
  <si>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</si>
  <si>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</si>
  <si>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</si>
  <si>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</si>
  <si>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</si>
  <si>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</si>
  <si>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</si>
  <si>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</si>
  <si>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</si>
  <si>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</si>
  <si>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</si>
  <si>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</si>
  <si>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</si>
  <si>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</si>
  <si>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</si>
  <si>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</si>
  <si>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</si>
  <si>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</si>
  <si>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</si>
  <si>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</si>
  <si>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</si>
  <si>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</si>
  <si>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</si>
  <si>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</si>
  <si>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</si>
  <si>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</si>
  <si>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</si>
  <si>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</si>
  <si>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</si>
  <si>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</si>
  <si>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</si>
  <si>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</si>
  <si>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</si>
  <si>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</si>
  <si>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</si>
  <si>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</si>
  <si>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</si>
  <si>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</si>
  <si>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</si>
  <si>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</si>
  <si>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</si>
  <si>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</si>
  <si>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</si>
  <si>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</si>
  <si>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</si>
  <si>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</si>
  <si>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</si>
  <si>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</si>
  <si>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</si>
  <si>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</si>
  <si>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</si>
  <si>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</si>
  <si>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</si>
  <si>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</si>
  <si>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</si>
  <si>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</si>
  <si>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</si>
  <si>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</si>
  <si>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</si>
  <si>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</si>
  <si>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</si>
  <si>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</si>
  <si>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</si>
  <si>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</si>
  <si>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</si>
  <si>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</si>
  <si>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</si>
  <si>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</si>
  <si>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</si>
  <si>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</si>
  <si>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</si>
  <si>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</si>
  <si>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</si>
  <si>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</si>
  <si>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</si>
  <si>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</si>
  <si>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</si>
  <si>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</si>
  <si>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</si>
  <si>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</si>
  <si>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</si>
  <si>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</si>
  <si>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</si>
  <si>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</si>
  <si>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</si>
  <si>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</si>
  <si>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</si>
  <si>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</si>
  <si>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</si>
  <si>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</si>
  <si>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</si>
  <si>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</si>
  <si>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</si>
  <si>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</si>
  <si>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</si>
  <si>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</si>
  <si>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</si>
  <si>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</si>
  <si>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</si>
  <si>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</si>
  <si>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</si>
  <si>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</si>
  <si>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</si>
  <si>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</si>
  <si>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</si>
  <si>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</si>
  <si>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</si>
  <si>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</si>
  <si>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</si>
  <si>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</si>
  <si>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</si>
  <si>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</si>
  <si>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</si>
  <si>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</si>
  <si>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</si>
  <si>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</si>
  <si>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</si>
  <si>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</si>
  <si>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</si>
  <si>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</si>
  <si>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</si>
  <si>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</si>
  <si>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</si>
  <si>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</si>
  <si>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</si>
  <si>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</si>
  <si>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</si>
  <si>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</si>
  <si>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</si>
  <si>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</si>
  <si>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</si>
  <si>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</si>
  <si>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</si>
  <si>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</si>
  <si>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</si>
  <si>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</si>
  <si>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</si>
  <si>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</si>
  <si>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</si>
  <si>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</si>
  <si>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</si>
  <si>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</si>
  <si>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</si>
  <si>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</si>
  <si>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</si>
  <si>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</si>
  <si>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</si>
  <si>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</si>
  <si>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</si>
  <si>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</si>
  <si>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</si>
  <si>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</si>
  <si>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</si>
  <si>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</si>
  <si>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</si>
  <si>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</si>
  <si>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</si>
  <si>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</si>
  <si>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</si>
  <si>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</si>
  <si>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</si>
  <si>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</si>
  <si>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</si>
  <si>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</si>
  <si>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</si>
  <si>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</si>
  <si>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</si>
  <si>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</si>
  <si>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</si>
  <si>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</si>
  <si>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</si>
  <si>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</si>
  <si>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</si>
  <si>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</si>
  <si>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</si>
  <si>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</si>
  <si>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</si>
  <si>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</si>
  <si>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</si>
  <si>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</si>
  <si>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</si>
  <si>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</si>
  <si>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</si>
  <si>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</si>
  <si>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</si>
  <si>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</si>
  <si>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</si>
  <si>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</si>
  <si>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</si>
  <si>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</si>
  <si>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</si>
  <si>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</si>
  <si>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</si>
  <si>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</si>
  <si>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</si>
  <si>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</si>
  <si>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</si>
  <si>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</si>
  <si>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</si>
  <si>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</si>
  <si>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</si>
  <si>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</si>
  <si>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</si>
  <si>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</si>
  <si>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</si>
  <si>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</si>
  <si>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</si>
  <si>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</si>
  <si>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</si>
  <si>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</si>
  <si>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</si>
  <si>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</si>
  <si>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</si>
  <si>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</si>
  <si>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</si>
  <si>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</si>
  <si>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</si>
  <si>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</si>
  <si>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</si>
  <si>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</si>
  <si>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</si>
  <si>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</si>
  <si>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</si>
  <si>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</si>
  <si>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</si>
  <si>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</si>
  <si>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</si>
  <si>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</si>
  <si>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</si>
  <si>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</si>
  <si>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</si>
  <si>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</si>
  <si>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</si>
  <si>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</si>
  <si>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</si>
  <si>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</si>
  <si>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</si>
  <si>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</si>
  <si>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</si>
  <si>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</si>
  <si>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</si>
  <si>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</si>
  <si>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</si>
  <si>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</si>
  <si>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</si>
  <si>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</si>
  <si>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</si>
  <si>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</si>
  <si>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</si>
  <si>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</si>
  <si>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</si>
  <si>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</si>
  <si>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</si>
  <si>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</si>
  <si>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</si>
  <si>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</si>
  <si>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</si>
  <si>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</si>
  <si>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</si>
  <si>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</si>
  <si>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</si>
  <si>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</si>
  <si>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</si>
  <si>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</si>
  <si>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</si>
  <si>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</si>
  <si>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</si>
  <si>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</si>
  <si>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</si>
  <si>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</si>
  <si>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</si>
  <si>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</si>
  <si>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</si>
  <si>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</si>
  <si>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</si>
  <si>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</si>
  <si>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</si>
  <si>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</si>
  <si>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</si>
  <si>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</si>
  <si>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</si>
  <si>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</si>
  <si>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</si>
  <si>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</si>
  <si>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</si>
  <si>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</si>
  <si>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</si>
  <si>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</si>
  <si>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</si>
  <si>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</si>
  <si>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</si>
  <si>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</si>
  <si>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</si>
  <si>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</si>
  <si>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</si>
  <si>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</si>
  <si>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</si>
  <si>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</si>
  <si>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</si>
  <si>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</si>
  <si>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</si>
  <si>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</si>
  <si>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</si>
  <si>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</si>
  <si>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</si>
  <si>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</si>
  <si>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</si>
  <si>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</si>
  <si>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</si>
  <si>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</si>
  <si>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</si>
  <si>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</si>
  <si>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</si>
  <si>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</si>
  <si>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</si>
  <si>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</si>
  <si>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</si>
  <si>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</si>
  <si>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</si>
  <si>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</si>
  <si>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</si>
  <si>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</si>
  <si>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</si>
  <si>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</si>
  <si>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</si>
  <si>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</si>
  <si>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</si>
  <si>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</si>
  <si>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</si>
  <si>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</si>
  <si>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</si>
  <si>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</si>
  <si>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</si>
  <si>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</si>
  <si>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</si>
  <si>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</si>
  <si>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</si>
  <si>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</si>
  <si>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</si>
  <si>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</si>
  <si>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</si>
  <si>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</si>
  <si>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</si>
  <si>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</si>
  <si>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</si>
  <si>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</si>
  <si>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</si>
  <si>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</si>
  <si>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</si>
  <si>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</si>
  <si>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</si>
  <si>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</si>
  <si>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</si>
  <si>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</si>
  <si>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</si>
  <si>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</si>
  <si>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</si>
  <si>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</si>
  <si>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</si>
  <si>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</si>
  <si>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</si>
  <si>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</si>
  <si>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</si>
  <si>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</si>
  <si>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</si>
  <si>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</si>
  <si>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</si>
  <si>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</si>
  <si>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</si>
  <si>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</si>
  <si>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</si>
  <si>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</si>
  <si>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</si>
  <si>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</si>
  <si>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</si>
  <si>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</si>
  <si>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</si>
  <si>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</si>
  <si>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</si>
  <si>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</si>
  <si>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</si>
  <si>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</si>
  <si>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</si>
  <si>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</si>
  <si>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</si>
  <si>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</si>
  <si>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</si>
  <si>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</si>
  <si>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</si>
  <si>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</si>
  <si>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</si>
  <si>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</si>
  <si>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</si>
  <si>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</si>
  <si>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</si>
  <si>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</si>
  <si>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</si>
  <si>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</si>
  <si>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</si>
  <si>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</si>
  <si>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</si>
  <si>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</si>
  <si>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</si>
  <si>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</si>
  <si>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</si>
  <si>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</si>
  <si>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</si>
  <si>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</si>
  <si>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</si>
  <si>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</si>
  <si>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</si>
  <si>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</si>
  <si>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</si>
  <si>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</si>
  <si>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</si>
  <si>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</si>
  <si>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</si>
  <si>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</si>
  <si>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</si>
  <si>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</si>
  <si>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</si>
  <si>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</si>
  <si>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</si>
  <si>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</si>
  <si>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</si>
  <si>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</si>
  <si>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</si>
  <si>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</si>
  <si>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</si>
  <si>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</si>
  <si>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</si>
  <si>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</si>
  <si>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</si>
  <si>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</si>
  <si>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</si>
  <si>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</si>
  <si>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</si>
  <si>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</si>
  <si>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</si>
  <si>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</si>
  <si>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</si>
  <si>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</si>
  <si>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</si>
  <si>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</si>
  <si>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</si>
  <si>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</si>
  <si>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</si>
  <si>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</si>
  <si>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</si>
  <si>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</si>
  <si>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</si>
  <si>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</si>
  <si>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</si>
  <si>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</si>
  <si>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</si>
  <si>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</si>
  <si>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</si>
  <si>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</si>
  <si>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</si>
  <si>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</si>
  <si>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</si>
  <si>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</si>
  <si>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</si>
  <si>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</si>
  <si>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</si>
  <si>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</si>
  <si>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</si>
  <si>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</si>
  <si>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</si>
  <si>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</si>
  <si>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</si>
  <si>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</si>
  <si>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</si>
  <si>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</si>
  <si>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</si>
  <si>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</si>
  <si>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</si>
  <si>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</si>
  <si>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</si>
  <si>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</si>
  <si>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</si>
  <si>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</si>
  <si>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</si>
  <si>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</si>
  <si>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</si>
  <si>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</si>
  <si>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</si>
  <si>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</si>
  <si>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</si>
  <si>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</si>
  <si>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</si>
  <si>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</si>
  <si>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</si>
  <si>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</si>
  <si>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</si>
  <si>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</si>
  <si>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</si>
  <si>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</si>
  <si>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</si>
  <si>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</si>
  <si>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</si>
  <si>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</si>
  <si>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</si>
  <si>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</si>
  <si>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</si>
  <si>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</si>
  <si>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</si>
  <si>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</si>
  <si>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</si>
  <si>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</si>
  <si>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</si>
  <si>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</si>
  <si>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</si>
  <si>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</si>
  <si>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</si>
  <si>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</si>
  <si>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</si>
  <si>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</si>
  <si>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</si>
  <si>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</si>
  <si>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</si>
  <si>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</si>
  <si>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</si>
  <si>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</si>
  <si>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</si>
  <si>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</si>
  <si>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</si>
  <si>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</si>
  <si>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</si>
  <si>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</si>
  <si>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</si>
  <si>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</si>
  <si>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</si>
  <si>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</si>
  <si>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</si>
  <si>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</si>
  <si>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</si>
  <si>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</si>
  <si>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</si>
  <si>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</si>
  <si>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</si>
  <si>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</si>
  <si>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</si>
  <si>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</si>
  <si>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</si>
  <si>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</si>
  <si>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</si>
  <si>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</si>
  <si>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</si>
  <si>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</si>
  <si>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</si>
  <si>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</si>
  <si>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</si>
  <si>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</si>
  <si>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</si>
  <si>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</si>
  <si>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</si>
  <si>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</si>
  <si>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</si>
  <si>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</si>
  <si>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</si>
  <si>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</si>
  <si>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</si>
  <si>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</si>
  <si>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</si>
  <si>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</si>
  <si>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</si>
  <si>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</si>
  <si>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</si>
  <si>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</si>
  <si>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</si>
  <si>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</si>
  <si>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</si>
  <si>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</si>
  <si>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</si>
  <si>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</si>
  <si>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</si>
  <si>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</si>
  <si>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</si>
  <si>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</si>
  <si>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</si>
  <si>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</si>
  <si>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</si>
  <si>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</si>
  <si>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</si>
  <si>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</si>
  <si>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</si>
  <si>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</si>
  <si>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</si>
  <si>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</si>
  <si>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</si>
  <si>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</si>
  <si>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</si>
  <si>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</si>
  <si>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</si>
  <si>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</si>
  <si>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</si>
  <si>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</si>
  <si>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</si>
  <si>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</si>
  <si>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</si>
  <si>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</si>
  <si>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</si>
  <si>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</si>
  <si>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</si>
  <si>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</si>
  <si>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</si>
  <si>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</si>
  <si>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</si>
  <si>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</si>
  <si>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</si>
  <si>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</si>
  <si>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</si>
  <si>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</si>
  <si>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</si>
  <si>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</si>
  <si>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</si>
  <si>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</si>
  <si>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</si>
  <si>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</si>
  <si>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</si>
  <si>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</si>
  <si>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</si>
  <si>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</si>
  <si>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</si>
  <si>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</si>
  <si>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</si>
  <si>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</si>
  <si>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</si>
  <si>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</si>
  <si>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</si>
  <si>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</si>
  <si>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</si>
  <si>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</si>
  <si>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</si>
  <si>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</si>
  <si>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</si>
  <si>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</si>
  <si>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</si>
  <si>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</si>
  <si>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</si>
  <si>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</si>
  <si>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</si>
  <si>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</si>
  <si>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</si>
  <si>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</si>
  <si>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</si>
  <si>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</si>
  <si>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</si>
  <si>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</si>
  <si>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</si>
  <si>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</si>
  <si>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</si>
  <si>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</si>
  <si>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</si>
  <si>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</si>
  <si>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</si>
  <si>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</si>
  <si>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</si>
  <si>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</si>
  <si>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</si>
  <si>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</si>
  <si>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</si>
  <si>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</si>
  <si>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</si>
  <si>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</si>
  <si>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</si>
  <si>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</si>
  <si>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</si>
  <si>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</si>
  <si>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</si>
  <si>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</si>
  <si>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</si>
  <si>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</si>
  <si>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</si>
  <si>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</si>
  <si>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</si>
  <si>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</si>
  <si>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</si>
  <si>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</si>
  <si>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</si>
  <si>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</si>
  <si>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</si>
  <si>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</si>
  <si>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</si>
  <si>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</si>
  <si>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</si>
  <si>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</si>
  <si>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</si>
  <si>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</si>
  <si>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</si>
  <si>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</si>
  <si>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</si>
  <si>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</si>
  <si>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</si>
  <si>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</si>
  <si>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</si>
  <si>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</si>
  <si>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</si>
  <si>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</si>
  <si>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</si>
  <si>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</si>
  <si>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</si>
  <si>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</si>
  <si>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</si>
  <si>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</si>
  <si>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</si>
  <si>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</si>
  <si>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</si>
  <si>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</si>
  <si>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</si>
  <si>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</si>
  <si>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</si>
  <si>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</si>
  <si>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</si>
  <si>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</si>
  <si>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</si>
  <si>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</si>
  <si>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</si>
  <si>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</si>
  <si>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</si>
  <si>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</si>
  <si>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</si>
  <si>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</si>
  <si>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</si>
  <si>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</si>
  <si>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</si>
  <si>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</si>
  <si>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</si>
  <si>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</si>
  <si>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</si>
  <si>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</si>
  <si>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</si>
  <si>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</si>
  <si>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</si>
  <si>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</si>
  <si>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</si>
  <si>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</si>
  <si>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</si>
  <si>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</si>
  <si>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</si>
  <si>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</si>
  <si>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</si>
  <si>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</si>
  <si>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</si>
  <si>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</si>
  <si>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</si>
  <si>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</si>
  <si>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</si>
  <si>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</si>
  <si>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</si>
  <si>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</si>
  <si>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</si>
  <si>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</si>
  <si>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</si>
  <si>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</si>
  <si>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</si>
  <si>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</si>
  <si>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</si>
  <si>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</si>
  <si>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</si>
  <si>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</si>
  <si>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</si>
  <si>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</si>
  <si>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</si>
  <si>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</si>
  <si>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</si>
  <si>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</si>
  <si>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</si>
  <si>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</si>
  <si>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</si>
  <si>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</si>
  <si>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</si>
  <si>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</si>
  <si>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</si>
  <si>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</si>
  <si>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</si>
  <si>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</si>
  <si>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</si>
  <si>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</si>
  <si>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</si>
  <si>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</si>
  <si>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</si>
  <si>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</si>
  <si>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</si>
  <si>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</si>
  <si>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</si>
  <si>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</si>
  <si>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</si>
  <si>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</si>
  <si>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</si>
  <si>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</si>
  <si>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</si>
  <si>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</si>
  <si>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</si>
  <si>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</si>
  <si>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</si>
  <si>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</si>
  <si>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</si>
  <si>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</si>
  <si>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</si>
  <si>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</si>
  <si>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</si>
  <si>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</si>
  <si>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</si>
  <si>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</si>
  <si>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</si>
  <si>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</si>
  <si>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</si>
  <si>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</si>
  <si>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</si>
  <si>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</si>
  <si>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</si>
  <si>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</si>
  <si>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</si>
  <si>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</si>
  <si>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</si>
  <si>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</si>
  <si>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</si>
  <si>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</si>
  <si>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</si>
  <si>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</si>
  <si>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</si>
  <si>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</si>
  <si>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</si>
  <si>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</si>
  <si>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</si>
  <si>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</si>
  <si>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</si>
  <si>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</si>
  <si>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</si>
  <si>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</si>
  <si>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</si>
  <si>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</si>
  <si>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</si>
  <si>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</si>
  <si>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</si>
  <si>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</si>
  <si>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</si>
  <si>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</si>
  <si>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</si>
  <si>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</si>
  <si>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</si>
  <si>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</si>
  <si>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</si>
  <si>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</si>
  <si>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</si>
  <si>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</si>
  <si>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</si>
  <si>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</si>
  <si>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</si>
  <si>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</si>
  <si>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</si>
  <si>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</si>
  <si>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</si>
  <si>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</si>
  <si>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</si>
  <si>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</si>
  <si>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</si>
  <si>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</si>
  <si>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</si>
  <si>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</si>
  <si>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</si>
  <si>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</si>
  <si>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</si>
  <si>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</si>
  <si>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</si>
  <si>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</si>
  <si>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</si>
  <si>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</si>
  <si>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</si>
  <si>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</si>
  <si>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</si>
  <si>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</si>
  <si>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</si>
  <si>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</si>
  <si>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</si>
  <si>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</si>
  <si>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</si>
  <si>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</si>
  <si>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</si>
  <si>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</si>
  <si>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</si>
  <si>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</si>
  <si>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</si>
  <si>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</si>
  <si>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</si>
  <si>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</si>
  <si>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</si>
  <si>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</si>
  <si>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</si>
  <si>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</si>
  <si>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</si>
  <si>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</si>
  <si>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</si>
  <si>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</si>
  <si>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</si>
  <si>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</si>
  <si>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</si>
  <si>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</si>
  <si>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</si>
  <si>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</si>
  <si>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</si>
  <si>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</si>
  <si>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</si>
  <si>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</si>
  <si>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</si>
  <si>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</si>
  <si>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</si>
  <si>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</si>
  <si>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</si>
  <si>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</si>
  <si>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</si>
  <si>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</si>
  <si>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</si>
  <si>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</si>
  <si>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</si>
  <si>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</si>
  <si>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</si>
  <si>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</si>
  <si>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</si>
  <si>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</si>
  <si>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</si>
  <si>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</si>
  <si>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</si>
  <si>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</si>
  <si>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</si>
  <si>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</si>
  <si>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</si>
  <si>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</si>
  <si>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</si>
  <si>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</si>
  <si>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</si>
  <si>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</si>
  <si>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</si>
  <si>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</si>
  <si>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</si>
  <si>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</si>
  <si>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</si>
  <si>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</si>
  <si>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</si>
  <si>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</si>
  <si>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</si>
  <si>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</si>
  <si>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</si>
  <si>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</si>
  <si>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</si>
  <si>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</si>
  <si>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</si>
  <si>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</si>
  <si>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</si>
  <si>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</si>
  <si>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</si>
  <si>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</si>
  <si>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</si>
  <si>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</si>
  <si>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</si>
  <si>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</si>
  <si>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</si>
  <si>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</si>
  <si>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</si>
  <si>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</si>
  <si>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</si>
  <si>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</si>
  <si>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</si>
  <si>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</si>
  <si>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</si>
  <si>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</si>
  <si>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</si>
  <si>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</si>
  <si>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</si>
  <si>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</si>
  <si>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</si>
  <si>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</si>
  <si>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</si>
  <si>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</si>
  <si>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</si>
  <si>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</si>
  <si>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</si>
  <si>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</si>
  <si>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</si>
  <si>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</si>
  <si>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</si>
  <si>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</si>
  <si>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</si>
  <si>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</si>
  <si>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</si>
  <si>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</si>
  <si>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</si>
  <si>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</si>
  <si>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</si>
  <si>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</si>
  <si>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</si>
  <si>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</si>
  <si>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</si>
  <si>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</si>
  <si>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</si>
  <si>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</si>
  <si>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</si>
  <si>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</si>
  <si>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</si>
  <si>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</si>
  <si>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</si>
  <si>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</si>
  <si>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</si>
  <si>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</si>
  <si>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</si>
  <si>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</si>
  <si>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</si>
  <si>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</si>
  <si>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</si>
  <si>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</si>
  <si>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</si>
  <si>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</si>
  <si>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</si>
  <si>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</si>
  <si>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</si>
  <si>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</si>
  <si>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</si>
  <si>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</si>
  <si>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</si>
  <si>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</si>
  <si>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</si>
  <si>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</si>
  <si>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</si>
  <si>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</si>
  <si>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</si>
  <si>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</si>
  <si>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</si>
  <si>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</si>
  <si>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</si>
  <si>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</si>
  <si>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</si>
  <si>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</si>
  <si>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</si>
  <si>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</si>
  <si>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</si>
  <si>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</si>
  <si>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</si>
  <si>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</si>
  <si>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</si>
  <si>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</si>
  <si>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</si>
  <si>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</si>
  <si>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</si>
  <si>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</si>
  <si>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</si>
  <si>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</si>
  <si>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</si>
  <si>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</si>
  <si>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</si>
  <si>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</si>
  <si>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</si>
  <si>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</si>
  <si>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</si>
  <si>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</si>
  <si>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</si>
  <si>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</si>
  <si>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</si>
  <si>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</si>
  <si>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</si>
  <si>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</si>
  <si>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</si>
  <si>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</si>
  <si>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</si>
  <si>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</si>
  <si>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</si>
  <si>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</si>
  <si>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</si>
  <si>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</si>
  <si>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</si>
  <si>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</si>
  <si>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</si>
  <si>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</si>
  <si>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</si>
  <si>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</si>
  <si>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</si>
  <si>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</si>
  <si>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</si>
  <si>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</si>
  <si>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</si>
  <si>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</si>
  <si>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</si>
  <si>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</si>
  <si>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</si>
  <si>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</si>
  <si>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</si>
  <si>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</si>
  <si>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</si>
  <si>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</si>
  <si>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</si>
  <si>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</si>
  <si>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</si>
  <si>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</si>
  <si>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</si>
  <si>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</si>
  <si>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</si>
  <si>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</si>
  <si>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</si>
  <si>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</si>
  <si>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</si>
  <si>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</si>
  <si>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</si>
  <si>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</si>
  <si>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</si>
  <si>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</si>
  <si>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</si>
  <si>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</si>
  <si>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</si>
  <si>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</si>
  <si>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</si>
  <si>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</si>
  <si>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</si>
  <si>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</si>
  <si>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</si>
  <si>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</si>
  <si>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</si>
  <si>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</si>
  <si>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</si>
  <si>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</si>
  <si>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</si>
  <si>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</si>
  <si>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</si>
  <si>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</si>
  <si>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</si>
  <si>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</si>
  <si>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</si>
  <si>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</si>
  <si>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</si>
  <si>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</si>
  <si>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</si>
  <si>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</si>
  <si>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</si>
  <si>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</si>
  <si>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</si>
  <si>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</si>
  <si>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</si>
  <si>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</si>
  <si>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</si>
  <si>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</si>
  <si>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</si>
  <si>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</si>
  <si>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</si>
  <si>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</si>
  <si>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</si>
  <si>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</si>
  <si>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</si>
  <si>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</si>
  <si>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</si>
  <si>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</si>
  <si>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</si>
  <si>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</si>
  <si>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</si>
  <si>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</si>
  <si>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</si>
  <si>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</si>
  <si>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</si>
  <si>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</si>
  <si>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</si>
  <si>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</si>
  <si>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</si>
  <si>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</si>
  <si>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</si>
  <si>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</si>
  <si>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</si>
  <si>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</si>
  <si>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</si>
  <si>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</si>
  <si>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</si>
  <si>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</si>
  <si>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</si>
  <si>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</si>
  <si>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</si>
  <si>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</si>
  <si>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</si>
  <si>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</si>
  <si>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</si>
  <si>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</si>
  <si>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</si>
  <si>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</si>
  <si>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</si>
  <si>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</si>
  <si>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</si>
  <si>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</si>
  <si>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</si>
  <si>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</si>
  <si>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</si>
  <si>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</si>
  <si>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</si>
  <si>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</si>
  <si>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</si>
  <si>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</si>
  <si>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</si>
  <si>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</si>
  <si>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</si>
  <si>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</si>
  <si>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</si>
  <si>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</si>
  <si>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</si>
  <si>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</si>
  <si>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</si>
  <si>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</si>
  <si>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</si>
  <si>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</si>
  <si>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</si>
  <si>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</si>
  <si>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</si>
  <si>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</si>
  <si>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</si>
  <si>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</si>
  <si>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</si>
  <si>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</si>
  <si>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</si>
  <si>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</si>
  <si>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</si>
  <si>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</si>
  <si>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</si>
  <si>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</si>
  <si>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</si>
  <si>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</si>
  <si>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</si>
  <si>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</si>
  <si>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</si>
  <si>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</si>
  <si>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</si>
  <si>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</si>
  <si>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</si>
  <si>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</si>
  <si>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</si>
  <si>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</si>
  <si>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</si>
  <si>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</si>
  <si>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</si>
  <si>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</si>
  <si>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</si>
  <si>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</si>
  <si>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</si>
  <si>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</si>
  <si>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</si>
  <si>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</si>
  <si>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</si>
  <si>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</si>
  <si>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</si>
  <si>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</si>
  <si>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</si>
  <si>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</si>
  <si>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</si>
  <si>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</si>
  <si>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</si>
  <si>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</si>
  <si>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</si>
  <si>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</si>
  <si>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</si>
  <si>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</si>
  <si>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</si>
  <si>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</si>
  <si>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</si>
  <si>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</si>
  <si>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</si>
  <si>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</si>
  <si>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</si>
  <si>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</si>
  <si>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</si>
  <si>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</si>
  <si>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</si>
  <si>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</si>
  <si>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</si>
  <si>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</si>
  <si>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</si>
  <si>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</si>
  <si>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</si>
  <si>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</si>
  <si>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</si>
  <si>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</si>
  <si>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</si>
  <si>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</si>
  <si>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</si>
  <si>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</si>
  <si>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</si>
  <si>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</si>
  <si>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</si>
  <si>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</si>
  <si>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</si>
  <si>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</si>
  <si>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</si>
  <si>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</si>
  <si>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</si>
  <si>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</si>
  <si>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</si>
  <si>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</si>
  <si>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</si>
  <si>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</si>
  <si>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</si>
  <si>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</si>
  <si>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</si>
  <si>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</si>
  <si>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</si>
  <si>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</si>
  <si>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</si>
  <si>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</si>
  <si>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</si>
  <si>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</si>
  <si>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</si>
  <si>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</si>
  <si>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</si>
  <si>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</si>
  <si>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</si>
  <si>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</si>
  <si>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</si>
  <si>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</si>
  <si>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</si>
  <si>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</si>
  <si>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</si>
  <si>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</si>
  <si>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</si>
  <si>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</si>
  <si>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</si>
  <si>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</si>
  <si>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</si>
  <si>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</si>
  <si>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</si>
  <si>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</si>
  <si>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</si>
  <si>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</si>
  <si>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</si>
  <si>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</si>
  <si>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</si>
  <si>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</si>
  <si>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</si>
  <si>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</si>
  <si>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</si>
  <si>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</si>
  <si>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</si>
  <si>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</si>
  <si>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</si>
  <si>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</si>
  <si>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</si>
  <si>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</si>
  <si>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</si>
  <si>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</si>
  <si>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</si>
  <si>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</si>
  <si>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</si>
  <si>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</si>
  <si>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</si>
  <si>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</si>
  <si>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</si>
  <si>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</si>
  <si>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</si>
  <si>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</si>
  <si>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</si>
  <si>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</si>
  <si>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</si>
  <si>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</si>
  <si>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</si>
  <si>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</si>
  <si>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</si>
  <si>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</si>
  <si>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</si>
  <si>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</si>
  <si>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</si>
  <si>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</si>
  <si>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</si>
  <si>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</si>
  <si>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</si>
  <si>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</si>
  <si>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</si>
  <si>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</si>
  <si>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</si>
  <si>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</si>
  <si>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</si>
  <si>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</si>
  <si>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</si>
  <si>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</si>
  <si>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</si>
  <si>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</si>
  <si>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</si>
  <si>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</si>
  <si>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</si>
  <si>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</si>
  <si>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</si>
  <si>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</si>
  <si>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</si>
  <si>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</si>
  <si>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</si>
  <si>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</si>
  <si>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</si>
  <si>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</si>
  <si>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</si>
  <si>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</si>
  <si>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</si>
  <si>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</si>
  <si>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</si>
  <si>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</si>
  <si>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</si>
  <si>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</si>
  <si>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</si>
  <si>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</si>
  <si>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</si>
  <si>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</si>
  <si>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</si>
  <si>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</si>
  <si>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</si>
  <si>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</si>
  <si>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</si>
  <si>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</si>
  <si>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</si>
  <si>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</si>
  <si>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</si>
  <si>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</si>
  <si>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</si>
  <si>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</si>
  <si>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</si>
  <si>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</si>
  <si>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</si>
  <si>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</si>
  <si>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</si>
  <si>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</si>
  <si>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</si>
  <si>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</si>
  <si>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</si>
  <si>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</si>
  <si>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</si>
  <si>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</si>
  <si>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</si>
  <si>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</si>
  <si>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</si>
  <si>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</si>
  <si>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</si>
  <si>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</si>
  <si>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</si>
  <si>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</si>
  <si>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</si>
  <si>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</si>
  <si>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</si>
  <si>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</si>
  <si>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</si>
  <si>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</si>
  <si>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</si>
  <si>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</si>
  <si>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</si>
  <si>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</si>
  <si>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</si>
  <si>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</si>
  <si>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</si>
  <si>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</si>
  <si>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</si>
  <si>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</si>
  <si>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</si>
  <si>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</si>
  <si>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</si>
  <si>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</si>
  <si>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</si>
  <si>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</si>
  <si>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</si>
  <si>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</si>
  <si>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</si>
  <si>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</si>
  <si>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</si>
  <si>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</si>
  <si>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</si>
  <si>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</si>
  <si>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</si>
  <si>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</si>
  <si>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</si>
  <si>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</si>
  <si>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</si>
  <si>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</si>
  <si>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</si>
  <si>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</si>
  <si>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</si>
  <si>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</si>
  <si>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</si>
  <si>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</si>
  <si>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</si>
  <si>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</si>
  <si>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</si>
  <si>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</si>
  <si>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</si>
  <si>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</si>
  <si>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</si>
  <si>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</si>
  <si>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</si>
  <si>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</si>
  <si>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</si>
  <si>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</si>
  <si>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</si>
  <si>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</si>
  <si>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</si>
  <si>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</si>
  <si>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</si>
  <si>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</si>
  <si>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</si>
  <si>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</si>
  <si>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</si>
  <si>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</si>
  <si>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</si>
  <si>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</si>
  <si>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</si>
  <si>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</si>
  <si>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</si>
  <si>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</si>
  <si>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</si>
  <si>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</si>
  <si>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</si>
  <si>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</si>
  <si>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</si>
  <si>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</si>
  <si>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</si>
  <si>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</si>
  <si>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</si>
  <si>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</si>
  <si>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</si>
  <si>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</si>
  <si>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</si>
  <si>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</si>
  <si>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</si>
  <si>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</si>
  <si>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</si>
  <si>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</si>
  <si>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</si>
  <si>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</si>
  <si>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</si>
  <si>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</si>
  <si>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</si>
  <si>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</si>
  <si>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</si>
  <si>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</si>
  <si>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</si>
  <si>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</si>
  <si>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</si>
  <si>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</si>
  <si>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</si>
  <si>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</si>
  <si>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</si>
  <si>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</si>
  <si>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</si>
  <si>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</si>
  <si>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</si>
  <si>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</si>
  <si>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</si>
  <si>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</si>
  <si>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</si>
  <si>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</si>
  <si>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</si>
  <si>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</si>
  <si>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</si>
  <si>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</si>
  <si>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</si>
  <si>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</si>
  <si>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</si>
  <si>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</si>
  <si>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</si>
  <si>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</si>
  <si>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</si>
  <si>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</si>
  <si>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</si>
  <si>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</si>
  <si>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</si>
  <si>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</si>
  <si>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</si>
  <si>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</si>
  <si>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</si>
  <si>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</si>
  <si>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</si>
  <si>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</si>
  <si>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</si>
  <si>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</si>
  <si>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</si>
  <si>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</si>
  <si>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</si>
  <si>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</si>
  <si>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</si>
  <si>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</si>
  <si>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</si>
  <si>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</si>
  <si>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</si>
  <si>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</si>
  <si>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</si>
  <si>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</si>
  <si>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</si>
  <si>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</si>
  <si>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</si>
  <si>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</si>
  <si>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</si>
  <si>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</si>
  <si>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</si>
  <si>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</si>
  <si>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</si>
  <si>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</si>
  <si>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</si>
  <si>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</si>
  <si>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</si>
  <si>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</si>
  <si>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</si>
  <si>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</si>
  <si>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</si>
  <si>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</si>
  <si>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</si>
  <si>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</si>
  <si>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</si>
  <si>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</si>
  <si>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</si>
  <si>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</si>
  <si>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</si>
  <si>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</si>
  <si>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</si>
  <si>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</si>
  <si>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</si>
  <si>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</si>
  <si>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</si>
  <si>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</si>
  <si>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</si>
  <si>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</si>
  <si>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</si>
  <si>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</si>
  <si>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</si>
  <si>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</si>
  <si>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</si>
  <si>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</si>
  <si>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</si>
  <si>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</si>
  <si>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</si>
  <si>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</si>
  <si>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</si>
  <si>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</si>
  <si>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</si>
  <si>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</si>
  <si>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</si>
  <si>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</si>
  <si>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</si>
  <si>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</si>
  <si>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</si>
  <si>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</si>
  <si>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</si>
  <si>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</si>
  <si>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</si>
  <si>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</si>
  <si>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</si>
  <si>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</si>
  <si>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</si>
  <si>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</si>
  <si>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</si>
  <si>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</si>
  <si>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</si>
  <si>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</si>
  <si>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</si>
  <si>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</si>
  <si>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</si>
  <si>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</si>
  <si>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</si>
  <si>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</si>
  <si>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</si>
  <si>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</si>
  <si>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</si>
  <si>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</si>
  <si>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</si>
  <si>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</si>
  <si>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</si>
  <si>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</si>
  <si>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</si>
  <si>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</si>
  <si>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</si>
  <si>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</si>
  <si>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</si>
  <si>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</si>
  <si>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</si>
  <si>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</si>
  <si>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</si>
  <si>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</si>
  <si>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</si>
  <si>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</si>
  <si>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</si>
  <si>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</si>
  <si>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</si>
  <si>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</si>
  <si>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</si>
  <si>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</si>
  <si>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</si>
  <si>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</si>
  <si>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</si>
  <si>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</si>
  <si>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</si>
  <si>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</si>
  <si>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</si>
  <si>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</si>
  <si>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</si>
  <si>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</si>
  <si>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</si>
  <si>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</si>
  <si>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</si>
  <si>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</si>
  <si>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</si>
  <si>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</si>
  <si>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</si>
  <si>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</si>
  <si>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</si>
  <si>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</si>
  <si>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</si>
  <si>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</si>
  <si>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</si>
  <si>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</si>
  <si>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</si>
  <si>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</si>
  <si>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</si>
  <si>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</si>
  <si>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</si>
  <si>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</si>
  <si>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</si>
  <si>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</si>
  <si>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</si>
  <si>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</si>
  <si>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</si>
  <si>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</si>
  <si>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</si>
  <si>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</si>
  <si>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</si>
  <si>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</si>
  <si>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</si>
  <si>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</si>
  <si>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</si>
  <si>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</si>
  <si>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</si>
  <si>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</si>
  <si>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</si>
  <si>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</si>
  <si>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</si>
  <si>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</si>
  <si>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</si>
  <si>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</si>
  <si>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</si>
  <si>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</si>
  <si>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</si>
  <si>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</si>
  <si>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</si>
  <si>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</si>
  <si>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</si>
  <si>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</si>
  <si>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</si>
  <si>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</si>
  <si>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</si>
  <si>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</si>
  <si>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</si>
  <si>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</si>
  <si>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</si>
  <si>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</si>
  <si>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</si>
  <si>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</si>
  <si>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</si>
  <si>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</si>
  <si>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</si>
  <si>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</si>
  <si>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</si>
  <si>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</si>
  <si>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</si>
  <si>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</si>
  <si>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</si>
  <si>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</si>
  <si>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</si>
  <si>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</si>
  <si>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</si>
  <si>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</si>
  <si>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</si>
  <si>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</si>
  <si>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</si>
  <si>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</si>
  <si>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</si>
  <si>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</si>
  <si>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</si>
  <si>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</si>
  <si>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</si>
  <si>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</si>
  <si>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</si>
  <si>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</si>
  <si>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</si>
  <si>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</si>
  <si>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</si>
  <si>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</si>
  <si>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</si>
  <si>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</si>
  <si>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</si>
  <si>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</si>
  <si>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</si>
  <si>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</si>
  <si>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</si>
  <si>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</si>
  <si>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</si>
  <si>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</si>
  <si>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</si>
  <si>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</si>
  <si>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</si>
  <si>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</si>
  <si>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</si>
  <si>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</si>
  <si>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</si>
  <si>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</si>
  <si>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</si>
  <si>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</si>
  <si>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</si>
  <si>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</si>
  <si>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</si>
  <si>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</si>
  <si>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</si>
  <si>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</si>
  <si>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</si>
  <si>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</si>
  <si>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</si>
  <si>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</si>
  <si>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</si>
  <si>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</si>
  <si>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</si>
  <si>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</si>
  <si>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</si>
  <si>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</si>
  <si>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</si>
  <si>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</si>
  <si>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</si>
  <si>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</si>
  <si>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</si>
  <si>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</si>
  <si>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</si>
  <si>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</si>
  <si>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</si>
  <si>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</si>
  <si>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</si>
  <si>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</si>
  <si>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</si>
  <si>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</si>
  <si>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</si>
  <si>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</si>
  <si>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</si>
  <si>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</si>
  <si>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</si>
  <si>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</si>
  <si>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</si>
  <si>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</si>
  <si>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</si>
  <si>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</si>
  <si>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</si>
  <si>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</si>
  <si>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</si>
  <si>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</si>
  <si>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</si>
  <si>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</si>
  <si>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</si>
  <si>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</si>
  <si>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</si>
  <si>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</si>
  <si>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</si>
  <si>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</si>
  <si>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</si>
  <si>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</si>
  <si>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</si>
  <si>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</si>
  <si>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</si>
  <si>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</si>
  <si>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</si>
  <si>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</si>
  <si>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</si>
  <si>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</si>
  <si>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</si>
  <si>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</si>
  <si>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</si>
  <si>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</si>
  <si>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</si>
  <si>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</si>
  <si>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</si>
  <si>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</si>
  <si>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</si>
  <si>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</si>
  <si>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</si>
  <si>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</si>
  <si>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</si>
  <si>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</si>
  <si>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</si>
  <si>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</si>
  <si>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</si>
  <si>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</si>
  <si>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</si>
  <si>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</si>
  <si>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</si>
  <si>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</si>
  <si>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</si>
  <si>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</si>
  <si>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</si>
  <si>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</si>
  <si>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</si>
  <si>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</si>
  <si>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</si>
  <si>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</si>
  <si>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</si>
  <si>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</si>
  <si>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</si>
  <si>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</si>
  <si>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</si>
  <si>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</si>
  <si>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</si>
  <si>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</si>
  <si>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</si>
  <si>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</si>
  <si>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</si>
  <si>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</si>
  <si>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</si>
  <si>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</si>
  <si>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</si>
  <si>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</si>
  <si>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</si>
  <si>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</si>
  <si>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</si>
  <si>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</si>
  <si>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</si>
  <si>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</si>
  <si>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</si>
  <si>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</si>
  <si>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</si>
  <si>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</si>
  <si>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</si>
  <si>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</si>
  <si>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</si>
  <si>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</si>
  <si>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</si>
  <si>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</si>
  <si>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</si>
  <si>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</si>
  <si>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</si>
  <si>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</si>
  <si>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</si>
  <si>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</si>
  <si>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</si>
  <si>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</si>
  <si>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</si>
  <si>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</si>
  <si>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</si>
  <si>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</si>
  <si>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</si>
  <si>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</si>
  <si>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</si>
  <si>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</si>
  <si>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</si>
  <si>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</si>
  <si>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</si>
  <si>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</si>
  <si>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</si>
  <si>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</si>
  <si>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</si>
  <si>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</si>
  <si>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</si>
  <si>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</si>
  <si>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</si>
  <si>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</si>
  <si>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</si>
  <si>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</si>
  <si>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</si>
  <si>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</si>
  <si>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</si>
  <si>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</si>
  <si>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</si>
  <si>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</si>
  <si>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</si>
  <si>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</si>
  <si>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</si>
  <si>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</si>
  <si>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</si>
  <si>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</si>
  <si>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</si>
  <si>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</si>
  <si>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</si>
  <si>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</si>
  <si>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</si>
  <si>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</si>
  <si>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</si>
  <si>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</si>
  <si>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</si>
  <si>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</si>
  <si>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</si>
  <si>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</si>
  <si>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</si>
  <si>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</si>
  <si>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</si>
  <si>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</si>
  <si>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</si>
  <si>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</si>
  <si>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</si>
  <si>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</si>
  <si>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</si>
  <si>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</si>
  <si>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</si>
  <si>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</si>
  <si>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</si>
  <si>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</si>
  <si>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</si>
  <si>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</si>
  <si>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</si>
  <si>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</si>
  <si>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</si>
  <si>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</si>
  <si>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</si>
  <si>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</si>
  <si>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</si>
  <si>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</si>
  <si>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</si>
  <si>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</si>
  <si>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</si>
  <si>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</si>
  <si>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</si>
  <si>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</si>
  <si>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</si>
  <si>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</si>
  <si>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</si>
  <si>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</si>
  <si>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</si>
  <si>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</si>
  <si>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</si>
  <si>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</si>
  <si>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</si>
  <si>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</si>
  <si>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</si>
  <si>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</si>
  <si>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</si>
  <si>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</si>
  <si>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</si>
  <si>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</si>
  <si>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</si>
  <si>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</si>
  <si>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</si>
  <si>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</si>
  <si>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</si>
  <si>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</si>
  <si>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</si>
  <si>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</si>
  <si>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</si>
  <si>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</si>
  <si>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</si>
  <si>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</si>
  <si>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</si>
  <si>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</si>
  <si>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</si>
  <si>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</si>
  <si>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</si>
  <si>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</si>
  <si>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</si>
  <si>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</si>
  <si>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</si>
  <si>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</si>
  <si>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</si>
  <si>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</si>
  <si>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</si>
  <si>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</si>
  <si>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</si>
  <si>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</si>
  <si>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</si>
  <si>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</si>
  <si>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</si>
  <si>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</si>
  <si>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</si>
  <si>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</si>
  <si>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</si>
  <si>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</si>
  <si>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</si>
  <si>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</si>
  <si>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</si>
  <si>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</si>
  <si>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</si>
  <si>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</si>
  <si>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</si>
  <si>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</si>
  <si>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</si>
  <si>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</si>
  <si>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</si>
  <si>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</si>
  <si>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</si>
  <si>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</si>
  <si>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</si>
  <si>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</si>
  <si>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</si>
  <si>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</si>
  <si>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</si>
  <si>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</si>
  <si>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</si>
  <si>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</si>
  <si>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</si>
  <si>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</si>
  <si>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</si>
  <si>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</si>
  <si>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</si>
  <si>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</si>
  <si>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</si>
  <si>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</si>
  <si>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</si>
  <si>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</si>
  <si>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</si>
  <si>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</si>
  <si>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</si>
  <si>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</si>
  <si>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</si>
  <si>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</si>
  <si>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</si>
  <si>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</si>
  <si>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</si>
  <si>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</si>
  <si>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</si>
  <si>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</si>
  <si>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</si>
  <si>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</si>
  <si>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</si>
  <si>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</si>
  <si>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</si>
  <si>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</si>
  <si>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</si>
  <si>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</si>
  <si>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</si>
  <si>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</si>
  <si>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</si>
  <si>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</si>
  <si>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</si>
  <si>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</si>
  <si>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</si>
  <si>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</si>
  <si>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</si>
  <si>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</si>
  <si>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</si>
  <si>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</si>
  <si>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</si>
  <si>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</si>
  <si>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</si>
  <si>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</si>
  <si>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</si>
  <si>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</si>
  <si>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</si>
  <si>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</si>
  <si>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</si>
  <si>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</si>
  <si>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</si>
  <si>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</si>
  <si>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</si>
  <si>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</si>
  <si>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</si>
  <si>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</si>
  <si>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</si>
  <si>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</si>
  <si>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</si>
  <si>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</si>
  <si>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</si>
  <si>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</si>
  <si>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</si>
  <si>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</si>
  <si>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</si>
  <si>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</si>
  <si>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</si>
  <si>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</si>
  <si>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</si>
  <si>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</si>
  <si>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</si>
  <si>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</si>
  <si>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</si>
  <si>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</si>
  <si>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</si>
  <si>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</si>
  <si>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</si>
  <si>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</si>
  <si>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</si>
  <si>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</si>
  <si>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</si>
  <si>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</si>
  <si>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</si>
  <si>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</si>
  <si>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</si>
  <si>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</si>
  <si>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</si>
  <si>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</si>
  <si>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</si>
  <si>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</si>
  <si>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</si>
  <si>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</si>
  <si>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</si>
  <si>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</si>
  <si>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</si>
  <si>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</si>
  <si>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</si>
  <si>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</si>
  <si>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</si>
  <si>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</si>
  <si>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</si>
  <si>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</si>
  <si>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</si>
  <si>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</si>
  <si>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</si>
  <si>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</si>
  <si>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</si>
  <si>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</si>
  <si>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</si>
  <si>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</si>
  <si>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</si>
  <si>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</si>
  <si>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</si>
  <si>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</si>
  <si>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</si>
  <si>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</si>
  <si>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</si>
  <si>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</si>
  <si>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</si>
  <si>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</si>
  <si>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</si>
  <si>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</si>
  <si>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</si>
  <si>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</si>
  <si>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</si>
  <si>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</si>
  <si>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</si>
  <si>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</si>
  <si>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</si>
  <si>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</si>
  <si>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</si>
  <si>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</si>
  <si>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</si>
  <si>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</si>
  <si>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</si>
  <si>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</si>
  <si>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</si>
  <si>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</si>
  <si>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</si>
  <si>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</si>
  <si>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</si>
  <si>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</si>
  <si>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</si>
  <si>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</si>
  <si>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</si>
  <si>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</si>
  <si>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</si>
  <si>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</si>
  <si>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</si>
  <si>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</si>
  <si>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</si>
  <si>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</si>
  <si>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</si>
  <si>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</si>
  <si>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</si>
  <si>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</si>
  <si>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</si>
  <si>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</si>
  <si>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</si>
  <si>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</si>
  <si>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</si>
  <si>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</si>
  <si>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</si>
  <si>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</si>
  <si>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</si>
  <si>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</si>
  <si>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</si>
  <si>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</si>
  <si>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</si>
  <si>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</si>
  <si>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</si>
  <si>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</si>
  <si>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</si>
  <si>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</si>
  <si>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</si>
  <si>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</si>
  <si>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</si>
  <si>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</si>
  <si>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</si>
  <si>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</si>
  <si>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</si>
  <si>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</si>
  <si>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</si>
  <si>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</si>
  <si>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</si>
  <si>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</si>
  <si>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</si>
  <si>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</si>
  <si>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</si>
  <si>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</si>
  <si>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</si>
  <si>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</si>
  <si>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</si>
  <si>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</si>
  <si>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</si>
  <si>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</si>
  <si>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</si>
  <si>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</si>
  <si>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</si>
  <si>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</si>
  <si>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</si>
  <si>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</si>
  <si>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</si>
  <si>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</si>
  <si>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</si>
  <si>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</si>
  <si>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</si>
  <si>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</si>
  <si>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</si>
  <si>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</si>
  <si>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</si>
  <si>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</si>
  <si>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</si>
  <si>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</si>
  <si>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</si>
  <si>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</si>
  <si>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</si>
  <si>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</si>
  <si>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</si>
  <si>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</si>
  <si>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</si>
  <si>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</si>
  <si>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</si>
  <si>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</si>
  <si>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</si>
  <si>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</si>
  <si>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</si>
  <si>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</si>
  <si>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</si>
  <si>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</si>
  <si>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</si>
  <si>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</si>
  <si>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</si>
  <si>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</si>
  <si>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</si>
  <si>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</si>
  <si>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</si>
  <si>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</si>
  <si>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</si>
  <si>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</si>
  <si>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</si>
  <si>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</si>
  <si>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</si>
  <si>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</si>
  <si>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</si>
  <si>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</si>
  <si>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</si>
  <si>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</si>
  <si>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</si>
  <si>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</si>
  <si>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</si>
  <si>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</si>
  <si>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</si>
  <si>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</si>
  <si>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</si>
  <si>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</si>
  <si>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</si>
  <si>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</si>
  <si>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</si>
  <si>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</si>
  <si>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</si>
  <si>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</si>
  <si>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</si>
  <si>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</si>
  <si>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</si>
  <si>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</si>
  <si>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</si>
  <si>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</si>
  <si>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</si>
  <si>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</si>
  <si>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</si>
  <si>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</si>
  <si>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</si>
  <si>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</si>
  <si>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</si>
  <si>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</si>
  <si>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</si>
  <si>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</si>
  <si>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</si>
  <si>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</si>
  <si>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</si>
  <si>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</si>
  <si>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</si>
  <si>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</si>
  <si>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</si>
  <si>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</si>
  <si>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</si>
  <si>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</si>
  <si>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</si>
  <si>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</si>
  <si>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</si>
  <si>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</si>
  <si>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</si>
  <si>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</si>
  <si>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</si>
  <si>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</si>
  <si>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</si>
  <si>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</si>
  <si>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</si>
  <si>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</si>
  <si>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</si>
  <si>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</si>
  <si>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</si>
  <si>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</si>
  <si>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</si>
  <si>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</si>
  <si>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</si>
  <si>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</si>
  <si>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</si>
  <si>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</si>
  <si>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</si>
  <si>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</si>
  <si>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</si>
  <si>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</si>
  <si>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</si>
  <si>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</si>
  <si>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</si>
  <si>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</si>
  <si>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</si>
  <si>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</si>
  <si>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</si>
  <si>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</si>
  <si>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</si>
  <si>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</si>
  <si>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</si>
  <si>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</si>
  <si>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</si>
  <si>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</si>
  <si>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</si>
  <si>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</si>
  <si>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</si>
  <si>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</si>
  <si>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</si>
  <si>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</si>
  <si>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</si>
  <si>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</si>
  <si>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</si>
  <si>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</si>
  <si>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</si>
  <si>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</si>
  <si>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</si>
  <si>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</si>
  <si>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</si>
  <si>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</si>
  <si>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</si>
  <si>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</si>
  <si>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</si>
  <si>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</si>
  <si>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</si>
  <si>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</si>
  <si>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</si>
  <si>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</si>
  <si>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</si>
  <si>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</si>
  <si>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</si>
  <si>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</si>
  <si>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</si>
  <si>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</si>
  <si>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</si>
  <si>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</si>
  <si>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</si>
  <si>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</si>
  <si>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</si>
  <si>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</si>
  <si>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</si>
  <si>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</si>
  <si>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</si>
  <si>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</si>
  <si>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</si>
  <si>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</si>
  <si>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</si>
  <si>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</si>
  <si>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</si>
  <si>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</si>
  <si>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</si>
  <si>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</si>
  <si>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</si>
  <si>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</si>
  <si>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</si>
  <si>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</si>
  <si>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</si>
  <si>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</si>
  <si>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</si>
  <si>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</si>
  <si>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</si>
  <si>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</si>
  <si>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</si>
  <si>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</si>
  <si>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</si>
  <si>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</si>
  <si>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</si>
  <si>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</si>
  <si>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</si>
  <si>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</si>
  <si>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</si>
  <si>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</si>
  <si>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</si>
  <si>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</si>
  <si>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</si>
  <si>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</si>
  <si>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</si>
  <si>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</si>
  <si>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</si>
  <si>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</si>
  <si>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</si>
  <si>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</si>
  <si>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</si>
  <si>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</si>
  <si>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</si>
  <si>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</si>
  <si>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</si>
  <si>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</si>
  <si>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</si>
  <si>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</si>
  <si>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</si>
  <si>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</si>
  <si>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</si>
  <si>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</si>
  <si>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</si>
  <si>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</si>
  <si>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</si>
  <si>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</si>
  <si>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</si>
  <si>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</si>
  <si>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</si>
  <si>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</si>
  <si>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</si>
  <si>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</si>
  <si>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</si>
  <si>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</si>
  <si>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</si>
  <si>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</si>
  <si>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</si>
  <si>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</si>
  <si>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</si>
  <si>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</si>
  <si>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</si>
  <si>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</si>
  <si>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</si>
  <si>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</si>
  <si>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</si>
  <si>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</si>
  <si>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</si>
  <si>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</si>
  <si>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</si>
  <si>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</si>
  <si>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</si>
  <si>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</si>
  <si>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</si>
  <si>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</si>
  <si>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</si>
  <si>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</si>
  <si>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</si>
  <si>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</si>
  <si>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</si>
  <si>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</si>
  <si>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</si>
  <si>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</si>
  <si>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</si>
  <si>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</si>
  <si>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</si>
  <si>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</si>
  <si>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</si>
  <si>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</si>
  <si>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</si>
  <si>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</si>
  <si>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</si>
  <si>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</si>
  <si>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</si>
  <si>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</si>
  <si>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</si>
  <si>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</si>
  <si>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</si>
  <si>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</si>
  <si>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</si>
  <si>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</si>
  <si>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</si>
  <si>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</si>
  <si>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</si>
  <si>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</si>
  <si>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</si>
  <si>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</si>
  <si>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</si>
  <si>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</si>
  <si>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</si>
  <si>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</si>
  <si>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</si>
  <si>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</si>
  <si>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</si>
  <si>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</si>
  <si>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</si>
  <si>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</si>
  <si>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</si>
  <si>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</si>
  <si>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</si>
  <si>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</si>
  <si>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</si>
  <si>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</si>
  <si>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</si>
  <si>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</si>
  <si>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</si>
  <si>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</si>
  <si>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</si>
  <si>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</si>
  <si>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</si>
  <si>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</si>
  <si>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</si>
  <si>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</si>
  <si>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</si>
  <si>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</si>
  <si>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</si>
  <si>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</si>
  <si>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</si>
  <si>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</si>
  <si>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</si>
  <si>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</si>
  <si>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</si>
  <si>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</si>
  <si>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</si>
  <si>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</si>
  <si>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</si>
  <si>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</si>
  <si>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</si>
  <si>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</si>
  <si>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</si>
  <si>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</si>
  <si>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</si>
  <si>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</si>
  <si>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</si>
  <si>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</si>
  <si>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</si>
  <si>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</si>
  <si>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</si>
  <si>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</si>
  <si>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</si>
  <si>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</si>
  <si>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</si>
  <si>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</si>
  <si>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</si>
  <si>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</si>
  <si>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</si>
  <si>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</si>
  <si>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</si>
  <si>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</si>
  <si>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</si>
  <si>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</si>
  <si>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</si>
  <si>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</si>
  <si>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</si>
  <si>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</si>
  <si>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</si>
  <si>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</si>
  <si>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</si>
  <si>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</si>
  <si>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</si>
  <si>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</si>
  <si>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</si>
  <si>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</si>
  <si>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</si>
  <si>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</si>
  <si>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</si>
  <si>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</si>
  <si>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</si>
  <si>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</si>
  <si>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</si>
  <si>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</si>
  <si>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</si>
  <si>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</si>
  <si>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</si>
  <si>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</si>
  <si>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</si>
  <si>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</si>
  <si>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</si>
  <si>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</si>
  <si>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</si>
  <si>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</si>
  <si>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</si>
  <si>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</si>
  <si>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</si>
  <si>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</si>
  <si>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</si>
  <si>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</si>
  <si>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</si>
  <si>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</si>
  <si>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</si>
  <si>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</si>
  <si>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</si>
  <si>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</si>
  <si>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</si>
  <si>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</si>
  <si>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</si>
  <si>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</si>
  <si>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</si>
  <si>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</si>
  <si>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</si>
  <si>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</si>
  <si>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</si>
  <si>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</si>
  <si>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</si>
  <si>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</si>
  <si>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</si>
  <si>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</si>
  <si>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</si>
  <si>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</si>
  <si>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</si>
  <si>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</si>
  <si>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</si>
  <si>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</si>
  <si>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</si>
  <si>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</si>
  <si>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</si>
  <si>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</si>
  <si>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</si>
  <si>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</si>
  <si>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</si>
  <si>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</si>
  <si>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</si>
  <si>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</si>
  <si>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</si>
  <si>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</si>
  <si>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</si>
  <si>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</si>
  <si>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</si>
  <si>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</si>
  <si>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</si>
  <si>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</si>
  <si>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</si>
  <si>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</si>
  <si>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</si>
  <si>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</si>
  <si>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</si>
  <si>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</si>
  <si>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</si>
  <si>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</si>
  <si>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</si>
  <si>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</si>
  <si>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</si>
  <si>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</si>
  <si>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</si>
  <si>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</si>
  <si>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</si>
  <si>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</si>
  <si>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</si>
  <si>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</si>
  <si>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</si>
  <si>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</si>
  <si>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</si>
  <si>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</si>
  <si>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</si>
  <si>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</si>
  <si>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</si>
  <si>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</si>
  <si>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</si>
  <si>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</si>
  <si>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</si>
  <si>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</si>
  <si>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</si>
  <si>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</si>
  <si>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</si>
  <si>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</si>
  <si>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</si>
  <si>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</si>
  <si>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</si>
  <si>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</si>
  <si>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</si>
  <si>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</si>
  <si>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</si>
  <si>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</si>
  <si>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</si>
  <si>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</si>
  <si>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</si>
  <si>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</si>
  <si>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</si>
  <si>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</si>
  <si>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</si>
  <si>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</si>
  <si>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</si>
  <si>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</si>
  <si>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</si>
  <si>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</si>
  <si>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</si>
  <si>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</si>
  <si>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</si>
  <si>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</si>
  <si>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</si>
  <si>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</si>
  <si>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</si>
  <si>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</si>
  <si>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</si>
  <si>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</si>
  <si>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</si>
  <si>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</si>
  <si>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</si>
  <si>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</si>
  <si>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</si>
  <si>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</si>
  <si>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</si>
  <si>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</si>
  <si>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</si>
  <si>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</si>
  <si>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</si>
  <si>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</si>
  <si>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</si>
  <si>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</si>
  <si>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</si>
  <si>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</si>
  <si>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</si>
  <si>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</si>
  <si>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</si>
  <si>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</si>
  <si>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</si>
  <si>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</si>
  <si>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</si>
  <si>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</si>
  <si>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</si>
  <si>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</si>
  <si>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</si>
  <si>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</si>
  <si>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</si>
  <si>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</si>
  <si>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</si>
  <si>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</si>
  <si>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</si>
  <si>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</si>
  <si>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</si>
  <si>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</si>
  <si>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</si>
  <si>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</si>
  <si>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</si>
  <si>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</si>
  <si>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</si>
  <si>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</si>
  <si>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</si>
  <si>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</si>
  <si>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</si>
  <si>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</si>
  <si>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</si>
  <si>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</si>
  <si>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</si>
  <si>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</si>
  <si>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</si>
  <si>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</si>
  <si>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</si>
  <si>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</si>
  <si>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</si>
  <si>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</si>
  <si>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</si>
  <si>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</si>
  <si>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</si>
  <si>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</si>
  <si>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</si>
  <si>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</si>
  <si>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</si>
  <si>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</si>
  <si>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</si>
  <si>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</si>
  <si>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</si>
  <si>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</si>
  <si>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</si>
  <si>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</si>
  <si>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</si>
  <si>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</si>
  <si>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</si>
  <si>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</si>
  <si>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</si>
  <si>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</si>
  <si>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</si>
  <si>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</si>
  <si>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</si>
  <si>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</si>
  <si>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</si>
  <si>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</si>
  <si>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</si>
  <si>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</si>
  <si>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</si>
  <si>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</si>
  <si>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</si>
  <si>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</si>
  <si>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</si>
  <si>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</si>
  <si>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</si>
  <si>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</si>
  <si>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</si>
  <si>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</si>
  <si>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</si>
  <si>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</si>
  <si>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</si>
  <si>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</si>
  <si>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</si>
  <si>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</si>
  <si>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</si>
  <si>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</si>
  <si>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</si>
  <si>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</si>
  <si>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</si>
  <si>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</si>
  <si>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</si>
  <si>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</si>
  <si>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</si>
  <si>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</si>
  <si>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</si>
  <si>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</si>
  <si>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</si>
  <si>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</si>
  <si>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</si>
  <si>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</si>
  <si>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</si>
  <si>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</si>
  <si>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</si>
  <si>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</si>
  <si>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</si>
  <si>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</si>
  <si>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</si>
  <si>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</si>
  <si>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</si>
  <si>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</si>
  <si>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</si>
  <si>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</si>
  <si>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</si>
  <si>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</si>
  <si>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</si>
  <si>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</si>
  <si>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</si>
  <si>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</si>
  <si>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</si>
  <si>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</si>
  <si>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</si>
  <si>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</si>
  <si>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</si>
  <si>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</si>
  <si>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</si>
  <si>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</si>
  <si>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</si>
  <si>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</si>
  <si>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</si>
  <si>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</si>
  <si>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</si>
  <si>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</si>
  <si>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</si>
  <si>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</si>
  <si>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</si>
  <si>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</si>
  <si>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</si>
  <si>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</si>
  <si>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</si>
  <si>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</si>
  <si>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</si>
  <si>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</si>
  <si>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</si>
  <si>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</si>
  <si>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</si>
  <si>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</si>
  <si>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</si>
  <si>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</si>
  <si>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</si>
  <si>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</si>
  <si>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</si>
  <si>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</si>
  <si>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</si>
  <si>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</si>
  <si>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</si>
  <si>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</si>
  <si>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</si>
  <si>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</si>
  <si>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</si>
  <si>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</si>
  <si>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</si>
  <si>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</si>
  <si>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</si>
  <si>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</si>
  <si>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</si>
  <si>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</si>
  <si>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</si>
  <si>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</si>
  <si>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</si>
  <si>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</si>
  <si>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</si>
  <si>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</si>
  <si>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</si>
  <si>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</si>
  <si>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</si>
  <si>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</si>
  <si>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</si>
  <si>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</si>
  <si>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</si>
  <si>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</si>
  <si>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</si>
  <si>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</si>
  <si>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</si>
  <si>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</si>
  <si>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</si>
  <si>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</si>
  <si>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</si>
  <si>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</si>
  <si>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</si>
  <si>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</si>
  <si>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</si>
  <si>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</si>
  <si>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</si>
  <si>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</si>
  <si>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</si>
  <si>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</si>
  <si>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</si>
  <si>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</si>
  <si>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</si>
  <si>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</si>
  <si>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</si>
  <si>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</si>
  <si>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</si>
  <si>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</si>
  <si>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</si>
  <si>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</si>
  <si>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</si>
  <si>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</si>
  <si>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</si>
  <si>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</si>
  <si>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</si>
  <si>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</si>
  <si>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</si>
  <si>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</si>
  <si>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</si>
  <si>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</si>
  <si>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</si>
  <si>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</si>
  <si>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</si>
  <si>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</si>
  <si>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</si>
  <si>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</si>
  <si>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</si>
  <si>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</si>
  <si>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</si>
  <si>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</si>
  <si>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</si>
  <si>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</si>
  <si>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</si>
  <si>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</si>
  <si>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</si>
  <si>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</si>
  <si>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</si>
  <si>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</si>
  <si>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</si>
  <si>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</si>
  <si>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</si>
  <si>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</si>
  <si>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</si>
  <si>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</si>
  <si>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</si>
  <si>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</si>
  <si>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</si>
  <si>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</si>
  <si>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</si>
  <si>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</si>
  <si>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</si>
  <si>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</si>
  <si>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</si>
  <si>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</si>
  <si>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</si>
  <si>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</si>
  <si>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</si>
  <si>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</si>
  <si>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</si>
  <si>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</si>
  <si>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</si>
  <si>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</si>
  <si>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</si>
  <si>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</si>
  <si>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</si>
  <si>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</si>
  <si>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</si>
  <si>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</si>
  <si>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</si>
  <si>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</si>
  <si>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</si>
  <si>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</si>
  <si>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</si>
  <si>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</si>
  <si>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</si>
  <si>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</si>
  <si>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</si>
  <si>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</si>
  <si>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</si>
  <si>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</si>
  <si>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</si>
  <si>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</si>
  <si>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</si>
  <si>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</si>
  <si>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</si>
  <si>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</si>
  <si>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</si>
  <si>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</si>
  <si>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</si>
  <si>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</si>
  <si>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</si>
  <si>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</si>
  <si>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</si>
  <si>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</si>
  <si>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</si>
  <si>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</si>
  <si>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</si>
  <si>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</si>
  <si>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</si>
  <si>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</si>
  <si>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</si>
  <si>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</si>
  <si>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</si>
  <si>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</si>
  <si>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</si>
  <si>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</si>
  <si>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</si>
  <si>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</si>
  <si>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</si>
  <si>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</si>
  <si>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</si>
  <si>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</si>
  <si>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</si>
  <si>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</si>
  <si>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</si>
  <si>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</si>
  <si>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</si>
  <si>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</si>
  <si>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</si>
  <si>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</si>
  <si>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</si>
  <si>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</si>
  <si>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</si>
  <si>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</si>
  <si>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</si>
  <si>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</si>
  <si>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</si>
  <si>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</si>
  <si>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</si>
  <si>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</si>
  <si>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</si>
  <si>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</si>
  <si>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</si>
  <si>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</si>
  <si>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</si>
  <si>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</si>
  <si>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</si>
  <si>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</si>
  <si>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</si>
  <si>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</si>
  <si>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</si>
  <si>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</si>
  <si>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</si>
  <si>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</si>
  <si>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</si>
  <si>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</si>
  <si>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</si>
  <si>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</si>
  <si>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</si>
  <si>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</si>
  <si>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</si>
  <si>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</si>
  <si>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</si>
  <si>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</si>
  <si>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</si>
  <si>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</si>
  <si>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</si>
  <si>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</si>
  <si>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</si>
  <si>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</si>
  <si>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</si>
  <si>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</si>
  <si>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</si>
  <si>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</si>
  <si>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</si>
  <si>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</si>
  <si>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</si>
  <si>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</si>
  <si>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</si>
  <si>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</si>
  <si>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</si>
  <si>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</si>
  <si>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</si>
  <si>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</si>
  <si>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</si>
  <si>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</si>
  <si>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</si>
  <si>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</si>
  <si>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</si>
  <si>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</si>
  <si>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</si>
  <si>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</si>
  <si>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</si>
  <si>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</si>
  <si>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</si>
  <si>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</si>
  <si>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</si>
  <si>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</si>
  <si>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</si>
  <si>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</si>
  <si>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</si>
  <si>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</si>
  <si>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</si>
  <si>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</si>
  <si>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</si>
  <si>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</si>
  <si>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</si>
  <si>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</si>
  <si>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</si>
  <si>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</si>
  <si>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</si>
  <si>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</si>
  <si>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</si>
  <si>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</si>
  <si>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</si>
  <si>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</si>
  <si>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</si>
  <si>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</si>
  <si>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</si>
  <si>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</si>
  <si>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</si>
  <si>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</si>
  <si>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</si>
  <si>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</si>
  <si>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</si>
  <si>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</si>
  <si>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</si>
  <si>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</si>
  <si>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</si>
  <si>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</si>
  <si>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</si>
  <si>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</si>
  <si>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</si>
  <si>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</si>
  <si>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</si>
  <si>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</si>
  <si>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</si>
  <si>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</si>
  <si>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</si>
  <si>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</si>
  <si>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</si>
  <si>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</si>
  <si>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</si>
  <si>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</si>
  <si>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</si>
  <si>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</si>
  <si>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</si>
  <si>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</si>
  <si>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</si>
  <si>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</si>
  <si>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</si>
  <si>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</si>
  <si>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</si>
  <si>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</si>
  <si>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</si>
  <si>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</si>
  <si>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</si>
  <si>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</si>
  <si>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</si>
  <si>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</si>
  <si>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</si>
  <si>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</si>
  <si>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</si>
  <si>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</si>
  <si>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</si>
  <si>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</si>
  <si>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</si>
  <si>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</si>
  <si>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</si>
  <si>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</si>
  <si>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</si>
  <si>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</si>
  <si>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</si>
  <si>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</si>
  <si>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</si>
  <si>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</si>
  <si>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</si>
  <si>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</si>
  <si>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</si>
  <si>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</si>
  <si>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</si>
  <si>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</si>
  <si>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</si>
  <si>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</si>
  <si>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</si>
  <si>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</si>
  <si>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</si>
  <si>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</si>
  <si>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</si>
  <si>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</si>
  <si>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</si>
  <si>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</si>
  <si>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</si>
  <si>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</si>
  <si>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</si>
  <si>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</si>
  <si>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</si>
  <si>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</si>
  <si>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</si>
  <si>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</si>
  <si>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</si>
  <si>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</si>
  <si>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</si>
  <si>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</si>
  <si>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</si>
  <si>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</si>
  <si>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</si>
  <si>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</si>
  <si>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</si>
  <si>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</si>
  <si>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</si>
  <si>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</si>
  <si>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</si>
  <si>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</si>
  <si>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</si>
  <si>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</si>
  <si>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</si>
  <si>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</si>
  <si>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</si>
  <si>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</si>
  <si>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</si>
  <si>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</si>
  <si>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</si>
  <si>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</si>
  <si>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</si>
  <si>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</si>
  <si>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</si>
  <si>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</si>
  <si>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</si>
  <si>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</si>
  <si>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</si>
  <si>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</si>
  <si>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</si>
  <si>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</si>
  <si>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</si>
  <si>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</si>
  <si>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</si>
  <si>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</si>
  <si>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</si>
  <si>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</si>
  <si>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</si>
  <si>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</si>
  <si>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</si>
  <si>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</si>
  <si>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</si>
  <si>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</si>
  <si>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</si>
  <si>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</si>
  <si>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</si>
  <si>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</si>
  <si>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</si>
  <si>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</si>
  <si>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</si>
  <si>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</si>
  <si>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</si>
  <si>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</si>
  <si>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</si>
  <si>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</si>
  <si>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</si>
  <si>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</si>
  <si>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</si>
  <si>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</si>
  <si>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</si>
  <si>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</si>
  <si>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</si>
  <si>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</si>
  <si>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</si>
  <si>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</si>
  <si>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</si>
  <si>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</si>
  <si>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</si>
  <si>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</si>
  <si>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</si>
  <si>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</si>
  <si>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</si>
  <si>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</si>
  <si>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</si>
  <si>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</si>
  <si>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</si>
  <si>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</si>
  <si>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</si>
  <si>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</si>
  <si>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</si>
  <si>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</si>
  <si>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</si>
  <si>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</si>
  <si>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</si>
  <si>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</si>
  <si>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</si>
  <si>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</si>
  <si>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</si>
  <si>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</si>
  <si>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</si>
  <si>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</si>
  <si>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</si>
  <si>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</si>
  <si>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</si>
  <si>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</si>
  <si>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</si>
  <si>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</si>
  <si>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</si>
  <si>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</si>
  <si>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</si>
  <si>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</si>
  <si>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</si>
  <si>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</si>
  <si>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</si>
  <si>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</si>
  <si>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</si>
  <si>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</si>
  <si>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</si>
  <si>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</si>
  <si>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</si>
  <si>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</si>
  <si>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</si>
  <si>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</si>
  <si>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</si>
  <si>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</si>
  <si>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</si>
  <si>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</si>
  <si>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</si>
  <si>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</si>
  <si>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</si>
  <si>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</si>
  <si>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</si>
  <si>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</si>
  <si>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</si>
  <si>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</si>
  <si>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</si>
  <si>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</si>
  <si>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</si>
  <si>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</si>
  <si>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</si>
  <si>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</si>
  <si>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</si>
  <si>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</si>
  <si>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</si>
  <si>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</si>
  <si>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</si>
  <si>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</si>
  <si>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</si>
  <si>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</si>
  <si>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</si>
  <si>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</si>
  <si>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</si>
  <si>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</si>
  <si>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</si>
  <si>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</si>
  <si>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</si>
  <si>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</si>
  <si>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</si>
  <si>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</si>
  <si>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</si>
  <si>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</si>
  <si>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</si>
  <si>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</si>
  <si>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</si>
  <si>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</si>
  <si>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</si>
  <si>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</si>
  <si>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</si>
  <si>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</si>
  <si>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</si>
  <si>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</si>
  <si>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</si>
  <si>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</si>
  <si>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</si>
  <si>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</si>
  <si>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</si>
  <si>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</si>
  <si>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</si>
  <si>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</si>
  <si>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</si>
  <si>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</si>
  <si>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</si>
  <si>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</si>
  <si>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</si>
  <si>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</si>
  <si>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</si>
  <si>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</si>
  <si>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</si>
  <si>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</si>
  <si>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</si>
  <si>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</si>
  <si>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</si>
  <si>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</si>
  <si>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</si>
  <si>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</si>
  <si>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</si>
  <si>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</si>
  <si>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</si>
  <si>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</si>
  <si>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</si>
  <si>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</si>
  <si>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</si>
  <si>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</si>
  <si>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</si>
  <si>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</si>
  <si>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</si>
  <si>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</si>
  <si>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</si>
  <si>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</si>
  <si>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</si>
  <si>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</si>
  <si>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</si>
  <si>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</si>
  <si>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</si>
  <si>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</si>
  <si>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</si>
  <si>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</si>
  <si>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</si>
  <si>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</si>
  <si>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</si>
  <si>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</si>
  <si>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</si>
  <si>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</si>
  <si>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</si>
  <si>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</si>
  <si>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</si>
  <si>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</si>
  <si>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</si>
  <si>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</si>
  <si>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</si>
  <si>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</si>
  <si>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</si>
  <si>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</si>
  <si>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</si>
  <si>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</si>
  <si>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</si>
  <si>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</si>
  <si>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</si>
  <si>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</si>
  <si>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</si>
  <si>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</si>
  <si>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</si>
  <si>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</si>
  <si>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</si>
  <si>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</si>
  <si>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</si>
  <si>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</si>
  <si>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</si>
  <si>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</si>
  <si>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</si>
  <si>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</si>
  <si>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</si>
  <si>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</si>
  <si>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</si>
  <si>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</si>
  <si>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</si>
  <si>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</si>
  <si>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</si>
  <si>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</si>
  <si>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</si>
  <si>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</si>
  <si>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</si>
  <si>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</si>
  <si>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</si>
  <si>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</si>
  <si>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</si>
  <si>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</si>
  <si>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</si>
  <si>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</si>
  <si>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</si>
  <si>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</si>
  <si>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</si>
  <si>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</si>
  <si>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</si>
  <si>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</si>
  <si>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</si>
  <si>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</si>
  <si>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</si>
  <si>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</si>
  <si>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</si>
  <si>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</si>
  <si>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</si>
  <si>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</si>
  <si>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</si>
  <si>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</si>
  <si>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</si>
  <si>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</si>
  <si>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</si>
  <si>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</si>
  <si>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</si>
  <si>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</si>
  <si>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</si>
  <si>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</si>
  <si>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</si>
  <si>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</si>
  <si>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</si>
  <si>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</si>
  <si>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</si>
  <si>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</si>
  <si>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</si>
  <si>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</si>
  <si>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</si>
  <si>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</si>
  <si>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</si>
  <si>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</si>
  <si>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</si>
  <si>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</si>
  <si>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</si>
  <si>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</si>
  <si>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</si>
  <si>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</si>
  <si>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</si>
  <si>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</si>
  <si>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</si>
  <si>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</si>
  <si>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</si>
  <si>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</si>
  <si>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</si>
  <si>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</si>
  <si>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</si>
  <si>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</si>
  <si>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</si>
  <si>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</si>
  <si>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</si>
  <si>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</si>
  <si>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</si>
  <si>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</si>
  <si>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</si>
  <si>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</si>
  <si>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</si>
  <si>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</si>
  <si>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</si>
  <si>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</si>
  <si>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</si>
  <si>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</si>
  <si>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</si>
  <si>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</si>
  <si>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</si>
  <si>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</si>
  <si>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</si>
  <si>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</si>
  <si>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</si>
  <si>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</si>
  <si>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</si>
  <si>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</si>
  <si>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</si>
  <si>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</si>
  <si>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</si>
  <si>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</si>
  <si>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</si>
  <si>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</si>
  <si>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</si>
  <si>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</si>
  <si>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</si>
  <si>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</si>
  <si>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</si>
  <si>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</si>
  <si>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</si>
  <si>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</si>
  <si>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</si>
  <si>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</si>
  <si>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</si>
  <si>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</si>
  <si>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</si>
  <si>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</si>
  <si>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</si>
  <si>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</si>
  <si>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</si>
  <si>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</si>
  <si>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</si>
  <si>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</si>
  <si>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</si>
  <si>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</si>
  <si>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</si>
  <si>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</si>
  <si>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</si>
  <si>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</si>
  <si>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</si>
  <si>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</si>
  <si>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</si>
  <si>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</si>
  <si>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</si>
  <si>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</si>
  <si>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</si>
  <si>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</si>
  <si>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</si>
  <si>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</si>
  <si>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</si>
  <si>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</si>
  <si>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</si>
  <si>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</si>
  <si>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</si>
  <si>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</si>
  <si>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</si>
  <si>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</si>
  <si>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</si>
  <si>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</si>
  <si>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</si>
  <si>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</si>
  <si>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</si>
  <si>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</si>
  <si>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</si>
  <si>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</si>
  <si>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</si>
  <si>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</si>
  <si>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</si>
  <si>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</si>
  <si>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</si>
  <si>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</si>
  <si>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</si>
  <si>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</si>
  <si>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</si>
  <si>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</si>
  <si>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</si>
  <si>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</si>
  <si>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</si>
  <si>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</si>
  <si>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</si>
  <si>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</si>
  <si>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</si>
  <si>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</si>
  <si>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</si>
  <si>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</si>
  <si>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</si>
  <si>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</si>
  <si>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</si>
  <si>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</si>
  <si>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</si>
  <si>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</si>
  <si>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</si>
  <si>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</si>
  <si>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</si>
  <si>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</si>
  <si>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</si>
  <si>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</si>
  <si>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</si>
  <si>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</si>
  <si>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</si>
  <si>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</si>
  <si>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</si>
  <si>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</si>
  <si>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</si>
  <si>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</si>
  <si>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</si>
  <si>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</si>
  <si>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</si>
  <si>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</si>
  <si>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</si>
  <si>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</si>
  <si>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</si>
  <si>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</si>
  <si>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</si>
  <si>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</si>
  <si>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</si>
  <si>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</si>
  <si>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</si>
  <si>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</si>
  <si>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</si>
  <si>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</si>
  <si>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</si>
  <si>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</si>
  <si>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</si>
  <si>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</si>
  <si>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</si>
  <si>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</si>
  <si>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</si>
  <si>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</si>
  <si>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</si>
  <si>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</si>
  <si>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</si>
  <si>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</si>
  <si>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</si>
  <si>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</si>
  <si>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</si>
  <si>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</si>
  <si>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</si>
  <si>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</si>
  <si>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</si>
  <si>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</si>
  <si>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</si>
  <si>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</si>
  <si>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</si>
  <si>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</si>
  <si>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</si>
  <si>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</si>
  <si>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</si>
  <si>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</si>
  <si>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</si>
  <si>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</si>
  <si>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</si>
  <si>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</si>
  <si>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</si>
  <si>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</si>
  <si>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</si>
  <si>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</si>
  <si>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</si>
  <si>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</si>
  <si>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</si>
  <si>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</si>
  <si>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</si>
  <si>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</si>
  <si>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</si>
  <si>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</si>
  <si>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</si>
  <si>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</si>
  <si>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</si>
  <si>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</si>
  <si>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</si>
  <si>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</si>
  <si>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</si>
  <si>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</si>
  <si>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</si>
  <si>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</si>
  <si>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</si>
  <si>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</si>
  <si>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</si>
  <si>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</si>
  <si>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</si>
  <si>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</si>
  <si>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</si>
  <si>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</si>
  <si>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</si>
  <si>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</si>
  <si>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</si>
  <si>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</si>
  <si>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</si>
  <si>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</si>
  <si>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</si>
  <si>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</si>
  <si>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</si>
  <si>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</si>
  <si>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</si>
  <si>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</si>
  <si>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</si>
  <si>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</si>
  <si>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</si>
  <si>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</si>
  <si>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</si>
  <si>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</si>
  <si>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</si>
  <si>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</si>
  <si>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</si>
  <si>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</si>
  <si>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</si>
  <si>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</si>
  <si>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</si>
  <si>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</si>
  <si>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</si>
  <si>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</si>
  <si>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</si>
  <si>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</si>
  <si>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</si>
  <si>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</si>
  <si>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</si>
  <si>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</si>
  <si>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</si>
  <si>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</si>
  <si>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</si>
  <si>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</si>
  <si>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</si>
  <si>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</si>
  <si>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</si>
  <si>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</si>
  <si>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</si>
  <si>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</si>
  <si>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</si>
  <si>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</si>
  <si>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</si>
  <si>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</si>
  <si>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</si>
  <si>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</si>
  <si>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</si>
  <si>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</si>
  <si>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</si>
  <si>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</si>
  <si>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</si>
  <si>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</si>
  <si>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</si>
  <si>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</si>
  <si>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</si>
  <si>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</si>
  <si>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</si>
  <si>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</si>
  <si>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</si>
  <si>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</si>
  <si>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</si>
  <si>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</si>
  <si>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</si>
  <si>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</si>
  <si>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</si>
  <si>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</si>
  <si>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</si>
  <si>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</si>
  <si>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</si>
  <si>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</si>
  <si>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</si>
  <si>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</si>
  <si>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</si>
  <si>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</si>
  <si>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</si>
  <si>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</si>
  <si>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</si>
  <si>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</si>
  <si>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</si>
  <si>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</si>
  <si>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</si>
  <si>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</si>
  <si>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</si>
  <si>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</si>
  <si>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</si>
  <si>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</si>
  <si>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</si>
  <si>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</si>
  <si>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</si>
  <si>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</si>
  <si>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</si>
  <si>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</si>
  <si>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</si>
  <si>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</si>
  <si>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</si>
  <si>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</si>
  <si>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</si>
  <si>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</si>
  <si>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</si>
  <si>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</si>
  <si>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</si>
  <si>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</si>
  <si>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</si>
  <si>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</si>
  <si>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</si>
  <si>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</si>
  <si>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</si>
  <si>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</si>
  <si>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</si>
  <si>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</si>
  <si>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</si>
  <si>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</si>
  <si>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</si>
  <si>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</si>
  <si>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</si>
  <si>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</si>
  <si>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</si>
  <si>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</si>
  <si>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</si>
  <si>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</si>
  <si>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</si>
  <si>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</si>
  <si>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</si>
  <si>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</si>
  <si>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</si>
  <si>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</si>
  <si>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</si>
  <si>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</si>
  <si>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</si>
  <si>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</si>
  <si>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</si>
  <si>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</si>
  <si>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</si>
  <si>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</si>
  <si>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</si>
  <si>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</si>
  <si>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</si>
  <si>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</si>
  <si>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</si>
  <si>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</si>
  <si>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</si>
  <si>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</si>
  <si>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</si>
  <si>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</si>
  <si>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</si>
  <si>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</si>
  <si>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</si>
  <si>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</si>
  <si>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</si>
  <si>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</si>
  <si>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</si>
  <si>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</si>
  <si>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</si>
  <si>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</si>
  <si>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</si>
  <si>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</si>
  <si>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</si>
  <si>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</si>
  <si>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</si>
  <si>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</si>
  <si>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</si>
  <si>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</si>
  <si>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</si>
  <si>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</si>
  <si>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</si>
  <si>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</si>
  <si>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</si>
  <si>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</si>
  <si>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</si>
  <si>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</si>
  <si>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</si>
  <si>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</si>
  <si>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</si>
  <si>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</si>
  <si>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</si>
  <si>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</si>
  <si>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</si>
  <si>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</si>
  <si>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</si>
  <si>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</si>
  <si>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</si>
  <si>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</si>
  <si>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</si>
  <si>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</si>
  <si>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</si>
  <si>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</si>
  <si>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</si>
  <si>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</si>
  <si>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</si>
  <si>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</si>
  <si>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</si>
  <si>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</si>
  <si>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</si>
  <si>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</si>
  <si>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</si>
  <si>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</si>
  <si>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</si>
  <si>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</si>
  <si>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</si>
  <si>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</si>
  <si>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</si>
  <si>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</si>
  <si>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</si>
  <si>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</si>
  <si>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</si>
  <si>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</si>
  <si>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</si>
  <si>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</si>
  <si>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</si>
  <si>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</si>
  <si>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</si>
  <si>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</si>
  <si>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</si>
  <si>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</si>
  <si>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</si>
  <si>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</si>
  <si>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</si>
  <si>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</si>
  <si>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</si>
  <si>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</si>
  <si>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</si>
  <si>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</si>
  <si>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</si>
  <si>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</si>
  <si>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</si>
  <si>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</si>
  <si>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</si>
  <si>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</si>
  <si>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</si>
  <si>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</si>
  <si>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</si>
  <si>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</si>
  <si>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</si>
  <si>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</si>
  <si>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</si>
  <si>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</si>
  <si>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</si>
  <si>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</si>
  <si>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</si>
  <si>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</si>
  <si>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</si>
  <si>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</si>
  <si>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</si>
  <si>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</si>
  <si>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</si>
  <si>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</si>
  <si>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</si>
  <si>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</si>
  <si>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</si>
  <si>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</si>
  <si>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</si>
  <si>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</si>
  <si>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</si>
  <si>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</si>
  <si>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</si>
  <si>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</si>
  <si>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</si>
  <si>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</si>
  <si>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</si>
  <si>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</si>
  <si>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</si>
  <si>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</si>
  <si>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</si>
  <si>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</si>
  <si>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</si>
  <si>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</si>
  <si>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</si>
  <si>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</si>
  <si>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</si>
  <si>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</si>
  <si>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</si>
  <si>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</si>
  <si>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</si>
  <si>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</si>
  <si>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</si>
  <si>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</si>
  <si>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</si>
  <si>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</si>
  <si>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</si>
  <si>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</si>
  <si>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</si>
  <si>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</si>
  <si>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</si>
  <si>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</si>
  <si>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</si>
  <si>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</si>
  <si>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</si>
  <si>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</si>
  <si>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</si>
  <si>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</si>
  <si>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</si>
  <si>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</si>
  <si>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</si>
  <si>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</si>
  <si>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</si>
  <si>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</si>
  <si>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</si>
  <si>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</si>
  <si>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</si>
  <si>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</si>
  <si>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</si>
  <si>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</si>
  <si>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</si>
  <si>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</si>
  <si>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</si>
  <si>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</si>
  <si>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</si>
  <si>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</si>
  <si>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</si>
  <si>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</si>
  <si>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</si>
  <si>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</si>
  <si>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</si>
  <si>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</si>
  <si>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</si>
  <si>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</si>
  <si>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</si>
  <si>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</si>
  <si>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</si>
  <si>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</si>
  <si>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</si>
  <si>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</si>
  <si>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</si>
  <si>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</si>
  <si>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</si>
  <si>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</si>
  <si>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</si>
  <si>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</si>
  <si>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</si>
  <si>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</si>
  <si>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</si>
  <si>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</si>
  <si>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</si>
  <si>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</si>
  <si>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</si>
  <si>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</si>
  <si>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</si>
  <si>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</si>
  <si>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</si>
  <si>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</si>
  <si>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</si>
  <si>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</si>
  <si>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</si>
  <si>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</si>
  <si>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</si>
  <si>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</si>
  <si>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</si>
  <si>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</si>
  <si>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</si>
  <si>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</si>
  <si>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</si>
  <si>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</si>
  <si>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</si>
  <si>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</si>
  <si>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</si>
  <si>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</si>
  <si>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</si>
  <si>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</si>
  <si>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</si>
  <si>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</si>
  <si>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</si>
  <si>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</si>
  <si>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</si>
  <si>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</si>
  <si>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</si>
  <si>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</si>
  <si>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</si>
  <si>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</si>
  <si>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</si>
  <si>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</si>
  <si>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</si>
  <si>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</si>
  <si>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</si>
  <si>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</si>
  <si>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</si>
  <si>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</si>
  <si>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</si>
  <si>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</si>
  <si>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</si>
  <si>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</si>
  <si>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</si>
  <si>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</si>
  <si>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</si>
  <si>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</si>
  <si>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</si>
  <si>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</si>
  <si>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</si>
  <si>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</si>
  <si>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</si>
  <si>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</si>
  <si>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</si>
  <si>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</si>
  <si>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</si>
  <si>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</si>
  <si>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</si>
  <si>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</si>
  <si>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</si>
  <si>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</si>
  <si>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</si>
  <si>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</si>
  <si>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</si>
  <si>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</si>
  <si>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</si>
  <si>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</si>
  <si>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</si>
  <si>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</si>
  <si>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</si>
  <si>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</si>
  <si>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</si>
  <si>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</si>
  <si>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</si>
  <si>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</si>
  <si>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</si>
  <si>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</si>
  <si>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</si>
  <si>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</si>
  <si>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</si>
  <si>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</si>
  <si>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</si>
  <si>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</si>
  <si>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</si>
  <si>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</si>
  <si>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</si>
  <si>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</si>
  <si>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</si>
  <si>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</si>
  <si>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</si>
  <si>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</si>
  <si>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</si>
  <si>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</si>
  <si>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</si>
  <si>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</si>
  <si>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</si>
  <si>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</si>
  <si>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</si>
  <si>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</si>
  <si>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</si>
  <si>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</si>
  <si>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</si>
  <si>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</si>
  <si>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</si>
  <si>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</si>
  <si>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</si>
  <si>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</si>
  <si>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</si>
  <si>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</si>
  <si>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</si>
  <si>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</si>
  <si>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</si>
  <si>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</si>
  <si>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</si>
  <si>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</si>
  <si>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</si>
  <si>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</si>
  <si>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</si>
  <si>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</si>
  <si>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</si>
  <si>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</si>
  <si>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</si>
  <si>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</si>
  <si>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</si>
  <si>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</si>
  <si>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</si>
  <si>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</si>
  <si>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</si>
  <si>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</si>
  <si>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</si>
  <si>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</si>
  <si>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</si>
  <si>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</si>
  <si>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</si>
  <si>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</si>
  <si>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</si>
  <si>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</si>
  <si>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</si>
  <si>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</si>
  <si>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</si>
  <si>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</si>
  <si>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</si>
  <si>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</si>
  <si>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</si>
  <si>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</si>
  <si>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</si>
  <si>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</si>
  <si>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</si>
  <si>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</si>
  <si>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</si>
  <si>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</si>
  <si>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</si>
  <si>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</si>
  <si>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</si>
  <si>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</si>
  <si>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</si>
  <si>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</si>
  <si>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</si>
  <si>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</si>
  <si>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</si>
  <si>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</si>
  <si>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</si>
  <si>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</si>
  <si>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</si>
  <si>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</si>
  <si>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</si>
  <si>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</si>
  <si>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</si>
  <si>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</si>
  <si>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</si>
  <si>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</si>
  <si>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</si>
  <si>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</si>
  <si>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</si>
  <si>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</si>
  <si>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</si>
  <si>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</si>
  <si>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</si>
  <si>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</si>
  <si>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</si>
  <si>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</si>
  <si>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</si>
  <si>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</si>
  <si>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</si>
  <si>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</si>
  <si>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</si>
  <si>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</si>
  <si>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</si>
  <si>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</si>
  <si>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</si>
  <si>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</si>
  <si>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</si>
  <si>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</si>
  <si>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</si>
  <si>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</si>
  <si>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</si>
  <si>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</si>
  <si>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</si>
  <si>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</si>
  <si>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</si>
  <si>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</si>
  <si>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</si>
  <si>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</si>
  <si>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</si>
  <si>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</si>
  <si>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</si>
  <si>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</si>
  <si>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</si>
  <si>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</si>
  <si>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</si>
  <si>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</si>
  <si>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</si>
  <si>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</si>
  <si>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</si>
  <si>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</si>
  <si>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</si>
  <si>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</si>
  <si>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</si>
  <si>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</si>
  <si>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</si>
  <si>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</si>
  <si>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</si>
  <si>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</si>
  <si>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</si>
  <si>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</si>
  <si>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</si>
  <si>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</si>
  <si>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</si>
  <si>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</si>
  <si>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</si>
  <si>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</si>
  <si>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</si>
  <si>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</si>
  <si>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</si>
  <si>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</si>
  <si>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</si>
  <si>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</si>
  <si>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</si>
  <si>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</si>
  <si>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</si>
  <si>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</si>
  <si>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</si>
  <si>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</si>
  <si>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</si>
  <si>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</si>
  <si>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</si>
  <si>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</si>
  <si>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</si>
  <si>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</si>
  <si>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</si>
  <si>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</si>
  <si>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</si>
  <si>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</si>
  <si>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</si>
  <si>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</si>
  <si>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</si>
  <si>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</si>
  <si>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</si>
  <si>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</si>
  <si>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</si>
  <si>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</si>
  <si>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</si>
  <si>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</si>
  <si>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</si>
  <si>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</si>
  <si>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</si>
  <si>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</si>
  <si>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</si>
  <si>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</si>
  <si>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</si>
  <si>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</si>
  <si>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</si>
  <si>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</si>
  <si>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</si>
  <si>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</si>
  <si>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</si>
  <si>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</si>
  <si>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</si>
  <si>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</si>
  <si>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</si>
  <si>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</si>
  <si>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</si>
  <si>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</si>
  <si>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</si>
  <si>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</si>
  <si>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</si>
  <si>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</si>
  <si>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</si>
  <si>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</si>
  <si>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</si>
  <si>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</si>
  <si>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</si>
  <si>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</si>
  <si>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</si>
  <si>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</si>
  <si>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</si>
  <si>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</si>
  <si>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</si>
  <si>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</si>
  <si>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</si>
  <si>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</si>
  <si>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</si>
  <si>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</si>
  <si>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</si>
  <si>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</si>
  <si>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</si>
  <si>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</si>
  <si>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</si>
  <si>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</si>
  <si>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</si>
  <si>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</si>
  <si>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</si>
  <si>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</si>
  <si>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</si>
  <si>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</si>
  <si>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</si>
  <si>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</si>
  <si>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</si>
  <si>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</si>
  <si>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</si>
  <si>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</si>
  <si>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</si>
  <si>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</si>
  <si>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</si>
  <si>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</si>
  <si>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</si>
  <si>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</si>
  <si>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</si>
  <si>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</si>
  <si>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</si>
  <si>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</si>
  <si>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</si>
  <si>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</si>
  <si>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</si>
  <si>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</si>
  <si>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</si>
  <si>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</si>
  <si>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</si>
  <si>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</si>
  <si>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</si>
  <si>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</si>
  <si>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</si>
  <si>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</si>
  <si>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</si>
  <si>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</si>
  <si>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</si>
  <si>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19.03.2021</t>
  </si>
  <si>
    <t>5403055763</t>
  </si>
  <si>
    <t>ООО «НДСК»</t>
  </si>
  <si>
    <t>7 (913) 388-41-41</t>
  </si>
  <si>
    <t>202102083617</t>
  </si>
  <si>
    <t>49 799 410,65</t>
  </si>
  <si>
    <t>г. Новосибирск</t>
  </si>
  <si>
    <t>598100059758</t>
  </si>
  <si>
    <t>Иванова Ксения Александровна</t>
  </si>
  <si>
    <t>8 (951) 954-29-50</t>
  </si>
  <si>
    <t>202102194251</t>
  </si>
  <si>
    <t>1 920 508,60</t>
  </si>
  <si>
    <t>Пермский край, с. Юрла</t>
  </si>
  <si>
    <t>0224954268</t>
  </si>
  <si>
    <t>ООО «ДОРСТРОЙИНЖИНИРИНГ»</t>
  </si>
  <si>
    <t>8 (927) 339-41-90</t>
  </si>
  <si>
    <t>202103010056</t>
  </si>
  <si>
    <t>46 826 243,95</t>
  </si>
  <si>
    <t>Челябинская обл, Нязепетровский р-н, г. Нязепетровск</t>
  </si>
  <si>
    <t>362703905846</t>
  </si>
  <si>
    <t>Глотов Алексей Владимирович</t>
  </si>
  <si>
    <t>7 (920) 444-45-23</t>
  </si>
  <si>
    <t>202103033554</t>
  </si>
  <si>
    <t>42 003 305,00</t>
  </si>
  <si>
    <t>Воронежская обл, Калачеевский р-н, Заброды с</t>
  </si>
  <si>
    <t>3662139232</t>
  </si>
  <si>
    <t>ООО «СМУ-90»</t>
  </si>
  <si>
    <t>7 (473) 233-04-28
7 (473) 280-24-28</t>
  </si>
  <si>
    <t>202103032707</t>
  </si>
  <si>
    <t>515 776 411,00</t>
  </si>
  <si>
    <t>Липецкая обл, Липецк г</t>
  </si>
  <si>
    <t>3702221711</t>
  </si>
  <si>
    <t>ООО «ОЛИМП»</t>
  </si>
  <si>
    <t>7 (915) 828-16-26</t>
  </si>
  <si>
    <t>202103041755</t>
  </si>
  <si>
    <t>868 797,10</t>
  </si>
  <si>
    <t>Ивановская обл, Иваново.</t>
  </si>
  <si>
    <t>202103053209</t>
  </si>
  <si>
    <t>175 026 370,00</t>
  </si>
  <si>
    <t>г. Ноябрьск</t>
  </si>
  <si>
    <t>202103051945</t>
  </si>
  <si>
    <t>85 938 776,00</t>
  </si>
  <si>
    <t>Липецк</t>
  </si>
  <si>
    <t>6670427159</t>
  </si>
  <si>
    <t>ООО «РСУ 4»</t>
  </si>
  <si>
    <t>7 (912) 605-60-50
7 (902) 278-02-76</t>
  </si>
  <si>
    <t>202103095411</t>
  </si>
  <si>
    <t>27 642 119,56</t>
  </si>
  <si>
    <t>г. Реж, Свердловской обл.</t>
  </si>
  <si>
    <t>650115090376</t>
  </si>
  <si>
    <t>Адамов Андрей Васильевич</t>
  </si>
  <si>
    <t>8 (962) 127-60-91
8 (962) 102-69-52</t>
  </si>
  <si>
    <t>202103094539</t>
  </si>
  <si>
    <t>2 726 600,00</t>
  </si>
  <si>
    <t>Сахалинская область, Анивский район, с. Петропавловское.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</si>
</sst>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EXCEL\&#8470;346&#1045;%20&#1086;&#1090;%2019.03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EXCEL\&#8470;341&#1045;%20&#1086;&#1090;%2019.03.2021%20&#1054;&#1054;&#1054;%20&#1044;&#1054;&#1056;&#1057;&#1058;&#1056;&#1054;&#1049;&#1048;&#1053;&#1046;&#1048;&#1053;&#1048;&#1056;&#1048;&#1053;&#1043;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45&#1045;%20&#1086;&#1090;%2019.03.2021%20&#1054;&#1054;&#1054;%20&#1057;&#1050;%20&#1057;&#1044;&#1057;(C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EXCEL\&#8470;340&#1045;%20&#1086;&#1090;%2019.03.2021%20&#1048;&#1074;&#1072;&#1085;&#1086;&#1074;&#1072;%20&#1050;&#1089;&#1077;&#1085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EXCEL\&#8470;339&#1045;%20&#1086;&#1090;%2019.03.2021%20&#1054;&#1054;&#1054;%20&#1053;&#1044;&#1057;&#1050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44&#1045;%20&#1086;&#1090;%2019.03.2021%20&#1054;&#1054;&#1054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EXCEL\&#8470;343&#1045;%20&#1086;&#1090;%2019.03.2021%20&#1054;&#1054;&#1054;%20&#1057;&#1052;&#1059;-90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348&#1045;%20&#1086;&#1090;%2019.03.2021%20&#1040;&#1076;&#1072;&#1084;&#1086;&#1074;%20&#1040;&#1085;&#1076;&#1088;&#1077;&#1081;%20&#1042;&#1072;&#1089;&#1080;&#1083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4" Type="http://schemas.openxmlformats.org/officeDocument/2006/relationships/hyperlink" Target="EXCEL\&#8470;342&#1045;%20&#1086;&#1090;%2019.03.2021%20&#1043;&#1083;&#1086;&#1090;&#1086;&#1074;%20&#1040;&#1083;&#1077;&#1082;&#1089;&#1077;&#1081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347&#1045;%20&#1086;&#1090;%2019.03.2021%20&#1054;&#1054;&#1054;%20&#1056;&#1057;&#1059;%204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11"/>
  <sheetViews>
    <sheetView tabSelected="1" workbookViewId="0">
      <selection activeCell="E19" sqref="E1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1546</v>
      </c>
      <c r="B2" s="148" t="s">
        <v>6652</v>
      </c>
      <c r="C2" s="299" t="s">
        <v>11300</v>
      </c>
      <c r="D2" s="300" t="s">
        <v>11301</v>
      </c>
      <c r="E2" s="301" t="s">
        <v>11302</v>
      </c>
      <c r="F2" s="302" t="s">
        <v>11303</v>
      </c>
      <c r="G2" s="138" t="s">
        <v>11304</v>
      </c>
      <c r="H2" s="298" t="s">
        <v>5639</v>
      </c>
      <c r="I2" s="298"/>
      <c r="J2" s="298" t="s">
        <v>5641</v>
      </c>
      <c r="K2" s="303"/>
      <c r="L2" s="298"/>
      <c r="M2" s="298"/>
      <c r="N2" s="304">
        <v>670200</v>
      </c>
      <c r="O2" s="139" t="s">
        <v>11305</v>
      </c>
      <c r="P2" s="139"/>
      <c r="Q2" s="298" t="s">
        <v>11306</v>
      </c>
    </row>
    <row r="3" spans="1:17" x14ac:dyDescent="0.25">
      <c r="A3" s="298">
        <v>1547</v>
      </c>
      <c r="B3" s="148" t="s">
        <v>6654</v>
      </c>
      <c r="C3" s="299" t="s">
        <v>11300</v>
      </c>
      <c r="D3" s="300" t="s">
        <v>11307</v>
      </c>
      <c r="E3" s="301" t="s">
        <v>11308</v>
      </c>
      <c r="F3" s="302" t="s">
        <v>11309</v>
      </c>
      <c r="G3" s="138" t="s">
        <v>11310</v>
      </c>
      <c r="H3" s="298" t="s">
        <v>5639</v>
      </c>
      <c r="I3" s="298"/>
      <c r="J3" s="298" t="s">
        <v>5641</v>
      </c>
      <c r="K3" s="303"/>
      <c r="L3" s="298"/>
      <c r="M3" s="298"/>
      <c r="N3" s="304">
        <v>46400</v>
      </c>
      <c r="O3" s="139" t="s">
        <v>11311</v>
      </c>
      <c r="P3" s="139"/>
      <c r="Q3" s="298" t="s">
        <v>11312</v>
      </c>
    </row>
    <row r="4" spans="1:17" x14ac:dyDescent="0.25">
      <c r="A4" s="298">
        <v>1548</v>
      </c>
      <c r="B4" s="148" t="s">
        <v>6656</v>
      </c>
      <c r="C4" s="299" t="s">
        <v>11300</v>
      </c>
      <c r="D4" s="300" t="s">
        <v>11313</v>
      </c>
      <c r="E4" s="301" t="s">
        <v>11314</v>
      </c>
      <c r="F4" s="302" t="s">
        <v>11315</v>
      </c>
      <c r="G4" s="138" t="s">
        <v>11316</v>
      </c>
      <c r="H4" s="298" t="s">
        <v>5639</v>
      </c>
      <c r="I4" s="298"/>
      <c r="J4" s="298" t="s">
        <v>5641</v>
      </c>
      <c r="K4" s="303"/>
      <c r="L4" s="298"/>
      <c r="M4" s="298"/>
      <c r="N4" s="304">
        <v>444000</v>
      </c>
      <c r="O4" s="139" t="s">
        <v>11317</v>
      </c>
      <c r="P4" s="139"/>
      <c r="Q4" s="298" t="s">
        <v>11318</v>
      </c>
    </row>
    <row r="5" spans="1:17" x14ac:dyDescent="0.25">
      <c r="A5" s="298">
        <v>1549</v>
      </c>
      <c r="B5" s="148" t="s">
        <v>6658</v>
      </c>
      <c r="C5" s="299" t="s">
        <v>11300</v>
      </c>
      <c r="D5" s="300" t="s">
        <v>11319</v>
      </c>
      <c r="E5" s="301" t="s">
        <v>11320</v>
      </c>
      <c r="F5" s="302" t="s">
        <v>11321</v>
      </c>
      <c r="G5" s="138" t="s">
        <v>11322</v>
      </c>
      <c r="H5" s="298" t="s">
        <v>5639</v>
      </c>
      <c r="I5" s="298"/>
      <c r="J5" s="298" t="s">
        <v>5641</v>
      </c>
      <c r="K5" s="303"/>
      <c r="L5" s="298"/>
      <c r="M5" s="298"/>
      <c r="N5" s="304">
        <v>217120</v>
      </c>
      <c r="O5" s="139" t="s">
        <v>11323</v>
      </c>
      <c r="P5" s="139"/>
      <c r="Q5" s="298" t="s">
        <v>11324</v>
      </c>
    </row>
    <row r="6" spans="1:17" x14ac:dyDescent="0.25">
      <c r="A6" s="298">
        <v>1550</v>
      </c>
      <c r="B6" s="148" t="s">
        <v>6660</v>
      </c>
      <c r="C6" s="299" t="s">
        <v>11300</v>
      </c>
      <c r="D6" s="300" t="s">
        <v>11325</v>
      </c>
      <c r="E6" s="301" t="s">
        <v>11326</v>
      </c>
      <c r="F6" s="302" t="s">
        <v>11327</v>
      </c>
      <c r="G6" s="138" t="s">
        <v>11328</v>
      </c>
      <c r="H6" s="298" t="s">
        <v>5639</v>
      </c>
      <c r="I6" s="298"/>
      <c r="J6" s="298" t="s">
        <v>5641</v>
      </c>
      <c r="K6" s="303"/>
      <c r="L6" s="298"/>
      <c r="M6" s="298"/>
      <c r="N6" s="304">
        <v>745400</v>
      </c>
      <c r="O6" s="139" t="s">
        <v>11329</v>
      </c>
      <c r="P6" s="139"/>
      <c r="Q6" s="298" t="s">
        <v>11330</v>
      </c>
    </row>
    <row r="7" spans="1:17" x14ac:dyDescent="0.25">
      <c r="A7" s="298">
        <v>1551</v>
      </c>
      <c r="B7" s="148" t="s">
        <v>6662</v>
      </c>
      <c r="C7" s="299" t="s">
        <v>11300</v>
      </c>
      <c r="D7" s="300" t="s">
        <v>11331</v>
      </c>
      <c r="E7" s="301" t="s">
        <v>11332</v>
      </c>
      <c r="F7" s="302" t="s">
        <v>11333</v>
      </c>
      <c r="G7" s="138" t="s">
        <v>11334</v>
      </c>
      <c r="H7" s="298" t="s">
        <v>5639</v>
      </c>
      <c r="I7" s="298"/>
      <c r="J7" s="298" t="s">
        <v>5641</v>
      </c>
      <c r="K7" s="303"/>
      <c r="L7" s="298"/>
      <c r="M7" s="298"/>
      <c r="N7" s="304">
        <v>126300</v>
      </c>
      <c r="O7" s="139" t="s">
        <v>11335</v>
      </c>
      <c r="P7" s="139"/>
      <c r="Q7" s="298" t="s">
        <v>11336</v>
      </c>
    </row>
    <row r="8" spans="1:17" x14ac:dyDescent="0.25">
      <c r="A8" s="298">
        <v>1552</v>
      </c>
      <c r="B8" s="148" t="s">
        <v>6665</v>
      </c>
      <c r="C8" s="299" t="s">
        <v>11300</v>
      </c>
      <c r="D8" s="300" t="s">
        <v>2421</v>
      </c>
      <c r="E8" s="301" t="s">
        <v>2422</v>
      </c>
      <c r="F8" s="302" t="s">
        <v>2423</v>
      </c>
      <c r="G8" s="138" t="s">
        <v>11337</v>
      </c>
      <c r="H8" s="298" t="s">
        <v>5639</v>
      </c>
      <c r="I8" s="298"/>
      <c r="J8" s="298" t="s">
        <v>5641</v>
      </c>
      <c r="K8" s="303"/>
      <c r="L8" s="298"/>
      <c r="M8" s="298"/>
      <c r="N8" s="304">
        <v>370600</v>
      </c>
      <c r="O8" s="139" t="s">
        <v>11338</v>
      </c>
      <c r="P8" s="139"/>
      <c r="Q8" s="298" t="s">
        <v>11339</v>
      </c>
    </row>
    <row r="9" spans="1:17" x14ac:dyDescent="0.25">
      <c r="A9" s="298">
        <v>1553</v>
      </c>
      <c r="B9" s="148" t="s">
        <v>6667</v>
      </c>
      <c r="C9" s="299" t="s">
        <v>11300</v>
      </c>
      <c r="D9" s="300" t="s">
        <v>5418</v>
      </c>
      <c r="E9" s="301" t="s">
        <v>5419</v>
      </c>
      <c r="F9" s="302" t="s">
        <v>5420</v>
      </c>
      <c r="G9" s="138" t="s">
        <v>11340</v>
      </c>
      <c r="H9" s="298" t="s">
        <v>5640</v>
      </c>
      <c r="I9" s="298"/>
      <c r="J9" s="298" t="s">
        <v>5641</v>
      </c>
      <c r="K9" s="303"/>
      <c r="L9" s="298"/>
      <c r="M9" s="298"/>
      <c r="N9" s="298"/>
      <c r="O9" s="139" t="s">
        <v>11341</v>
      </c>
      <c r="P9" s="139"/>
      <c r="Q9" s="298" t="s">
        <v>11342</v>
      </c>
    </row>
    <row r="10" spans="1:17" x14ac:dyDescent="0.25">
      <c r="A10" s="298">
        <v>1554</v>
      </c>
      <c r="B10" s="148" t="s">
        <v>6669</v>
      </c>
      <c r="C10" s="299" t="s">
        <v>11300</v>
      </c>
      <c r="D10" s="300" t="s">
        <v>11343</v>
      </c>
      <c r="E10" s="301" t="s">
        <v>11344</v>
      </c>
      <c r="F10" s="302" t="s">
        <v>11345</v>
      </c>
      <c r="G10" s="138" t="s">
        <v>11346</v>
      </c>
      <c r="H10" s="298" t="s">
        <v>5639</v>
      </c>
      <c r="I10" s="298"/>
      <c r="J10" s="298" t="s">
        <v>5641</v>
      </c>
      <c r="K10" s="303"/>
      <c r="L10" s="298"/>
      <c r="M10" s="298"/>
      <c r="N10" s="304">
        <v>353400</v>
      </c>
      <c r="O10" s="139" t="s">
        <v>11347</v>
      </c>
      <c r="P10" s="139"/>
      <c r="Q10" s="298" t="s">
        <v>11348</v>
      </c>
    </row>
    <row r="11" spans="1:17" x14ac:dyDescent="0.25">
      <c r="A11" s="298">
        <v>1555</v>
      </c>
      <c r="B11" s="148" t="s">
        <v>6671</v>
      </c>
      <c r="C11" s="299" t="s">
        <v>11300</v>
      </c>
      <c r="D11" s="300" t="s">
        <v>11349</v>
      </c>
      <c r="E11" s="301" t="s">
        <v>11350</v>
      </c>
      <c r="F11" s="302" t="s">
        <v>11351</v>
      </c>
      <c r="G11" s="138" t="s">
        <v>11352</v>
      </c>
      <c r="H11" s="298" t="s">
        <v>5639</v>
      </c>
      <c r="I11" s="298"/>
      <c r="J11" s="298" t="s">
        <v>5641</v>
      </c>
      <c r="K11" s="303"/>
      <c r="L11" s="298"/>
      <c r="M11" s="298"/>
      <c r="N11" s="304">
        <v>68000</v>
      </c>
      <c r="O11" s="139" t="s">
        <v>11353</v>
      </c>
      <c r="P11" s="139"/>
      <c r="Q11" s="298" t="s">
        <v>11354</v>
      </c>
    </row>
  </sheetData>
  <autoFilter ref="P1"/>
  <dataValidations count="4">
    <dataValidation type="list" allowBlank="1" showInputMessage="1" showErrorMessage="1" sqref="I2:I11">
      <formula1>"Важно, Нейтрально, Очень важно,  ,"</formula1>
    </dataValidation>
    <dataValidation type="list" allowBlank="1" showInputMessage="1" showErrorMessage="1" sqref="H2:H11">
      <formula1>"КП сформировано, КП выслано, Был прозвон, Требуется звонок,  ,"</formula1>
    </dataValidation>
    <dataValidation type="list" allowBlank="1" showInputMessage="1" showErrorMessage="1" sqref="J2:J11">
      <formula1>"Гуц, Мандрыкин, Горячев, Зелизко Д., Зелизко С.И., "</formula1>
    </dataValidation>
    <dataValidation type="list" allowBlank="1" showInputMessage="1" showErrorMessage="1" sqref="M2:M11">
      <formula1>"Не требуется, В работе, Купили у нас, Уже купили,  "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</hyperlinks>
  <pageMargins left="0.7" right="0.7" top="0.75" bottom="0.75" header="0.3" footer="0.3"/>
  <pageSetup paperSize="0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4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07"/>
      <c r="B1" s="1"/>
      <c r="C1" s="308"/>
      <c r="D1" s="18"/>
      <c r="H1" s="315" t="s">
        <v>0</v>
      </c>
      <c r="I1" s="315"/>
      <c r="J1" s="315"/>
      <c r="K1" s="315"/>
      <c r="L1" s="3" t="s">
        <v>3</v>
      </c>
    </row>
    <row r="2" spans="1:14" x14ac:dyDescent="0.25">
      <c r="A2" s="307"/>
      <c r="B2" s="1"/>
      <c r="C2" s="308"/>
      <c r="D2" s="18"/>
      <c r="H2" s="315" t="s">
        <v>1</v>
      </c>
      <c r="I2" s="315"/>
      <c r="J2" s="315"/>
      <c r="K2" s="315"/>
      <c r="L2" s="3" t="s">
        <v>4</v>
      </c>
    </row>
    <row r="3" spans="1:14" ht="16.5" x14ac:dyDescent="0.25">
      <c r="A3" s="4"/>
      <c r="H3" s="317" t="s">
        <v>2</v>
      </c>
      <c r="I3" s="317"/>
      <c r="J3" s="317"/>
      <c r="K3" s="317"/>
      <c r="L3" s="5" t="s">
        <v>5</v>
      </c>
    </row>
    <row r="5" spans="1:14" ht="26.25" x14ac:dyDescent="0.25">
      <c r="G5" s="312" t="s">
        <v>10</v>
      </c>
      <c r="H5" s="312"/>
      <c r="I5" s="312"/>
      <c r="J5" s="312"/>
      <c r="K5" s="312"/>
      <c r="L5" s="312"/>
      <c r="M5" s="312"/>
      <c r="N5" s="312"/>
    </row>
    <row r="6" spans="1:14" ht="26.25" x14ac:dyDescent="0.4">
      <c r="G6" s="313" t="s">
        <v>6462</v>
      </c>
      <c r="H6" s="313"/>
      <c r="I6" s="313"/>
      <c r="J6" s="313"/>
      <c r="K6" s="313"/>
      <c r="L6" s="313"/>
      <c r="M6" s="313"/>
      <c r="N6" s="313"/>
    </row>
    <row r="7" spans="1:14" x14ac:dyDescent="0.25">
      <c r="N7" s="7"/>
    </row>
    <row r="8" spans="1:14" ht="26.25" customHeight="1" x14ac:dyDescent="0.25">
      <c r="G8" s="311" t="s">
        <v>6</v>
      </c>
      <c r="H8" s="311"/>
      <c r="I8" s="311"/>
      <c r="J8" s="314" t="s">
        <v>4503</v>
      </c>
      <c r="K8" s="314"/>
      <c r="L8" s="314"/>
      <c r="M8" s="314"/>
      <c r="N8" s="14"/>
    </row>
    <row r="9" spans="1:14" ht="19.5" customHeight="1" x14ac:dyDescent="0.25">
      <c r="G9" s="311" t="s">
        <v>7</v>
      </c>
      <c r="H9" s="311"/>
      <c r="I9" s="311"/>
      <c r="J9" s="314" t="s">
        <v>41</v>
      </c>
      <c r="K9" s="314"/>
      <c r="L9" s="314"/>
      <c r="M9" s="314"/>
      <c r="N9" s="14"/>
    </row>
    <row r="10" spans="1:14" ht="32.25" customHeight="1" x14ac:dyDescent="0.25">
      <c r="G10" s="311" t="s">
        <v>8</v>
      </c>
      <c r="H10" s="311"/>
      <c r="I10" s="311"/>
      <c r="J10" s="314" t="s">
        <v>6452</v>
      </c>
      <c r="K10" s="314"/>
      <c r="L10" s="314"/>
      <c r="M10" s="314"/>
      <c r="N10" s="14"/>
    </row>
    <row r="11" spans="1:14" ht="26.25" customHeight="1" x14ac:dyDescent="0.25">
      <c r="G11" s="311" t="s">
        <v>9</v>
      </c>
      <c r="H11" s="311"/>
      <c r="I11" s="311"/>
      <c r="J11" s="318" t="s">
        <v>6453</v>
      </c>
      <c r="K11" s="319"/>
      <c r="L11" s="319"/>
      <c r="M11" s="319"/>
      <c r="N11" s="15"/>
    </row>
    <row r="12" spans="1:14" ht="26.25" customHeight="1" x14ac:dyDescent="0.25">
      <c r="G12" s="309" t="s">
        <v>26</v>
      </c>
      <c r="H12" s="309"/>
      <c r="I12" s="309"/>
      <c r="J12" s="310" t="s">
        <v>6459</v>
      </c>
      <c r="K12" s="310"/>
      <c r="L12" s="310"/>
      <c r="M12" s="310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0" t="s">
        <v>27</v>
      </c>
      <c r="F15" s="320"/>
      <c r="G15" s="320"/>
      <c r="H15" s="320"/>
      <c r="I15" s="320"/>
      <c r="J15" s="320"/>
      <c r="K15" s="320"/>
      <c r="L15" s="320"/>
      <c r="M15" s="320"/>
      <c r="N15" s="320"/>
    </row>
    <row r="16" spans="1:14" ht="57" customHeight="1" x14ac:dyDescent="0.25">
      <c r="C16" s="321" t="s">
        <v>6463</v>
      </c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17"/>
    </row>
    <row r="18" spans="2:18" ht="32.25" customHeight="1" x14ac:dyDescent="0.25">
      <c r="C18" s="58" t="s">
        <v>16</v>
      </c>
      <c r="D18" s="316" t="s">
        <v>11</v>
      </c>
      <c r="E18" s="316"/>
      <c r="F18" s="316"/>
      <c r="G18" s="316"/>
      <c r="H18" s="316"/>
      <c r="I18" s="316" t="s">
        <v>12</v>
      </c>
      <c r="J18" s="316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28" t="s">
        <v>6455</v>
      </c>
      <c r="E19" s="328"/>
      <c r="F19" s="328"/>
      <c r="G19" s="328"/>
      <c r="H19" s="328"/>
      <c r="I19" s="329" t="s">
        <v>40</v>
      </c>
      <c r="J19" s="329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28" t="s">
        <v>6456</v>
      </c>
      <c r="E20" s="328"/>
      <c r="F20" s="328"/>
      <c r="G20" s="328"/>
      <c r="H20" s="328"/>
      <c r="I20" s="329" t="s">
        <v>40</v>
      </c>
      <c r="J20" s="329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31" t="s">
        <v>18</v>
      </c>
      <c r="K21" s="331"/>
      <c r="L21" s="331"/>
      <c r="M21" s="12">
        <f>SUM(M19:M20)</f>
        <v>38</v>
      </c>
      <c r="Q21" s="16"/>
      <c r="R21" s="16"/>
    </row>
    <row r="22" spans="2:18" ht="15.75" x14ac:dyDescent="0.25">
      <c r="J22" s="332" t="s">
        <v>17</v>
      </c>
      <c r="K22" s="332"/>
      <c r="L22" s="332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</row>
    <row r="26" spans="2:18" x14ac:dyDescent="0.25">
      <c r="K26" s="6"/>
    </row>
    <row r="27" spans="2:18" s="50" customFormat="1" ht="21" customHeight="1" x14ac:dyDescent="0.25">
      <c r="C27" s="51"/>
      <c r="D27" s="324" t="s">
        <v>21</v>
      </c>
      <c r="E27" s="324"/>
      <c r="F27" s="323" t="s">
        <v>22</v>
      </c>
      <c r="G27" s="323"/>
      <c r="H27" s="323"/>
      <c r="I27" s="323"/>
      <c r="J27" s="323"/>
      <c r="K27" s="323"/>
      <c r="L27" s="323"/>
      <c r="M27" s="323"/>
    </row>
    <row r="28" spans="2:18" s="50" customFormat="1" ht="21" customHeight="1" x14ac:dyDescent="0.25">
      <c r="C28" s="51"/>
      <c r="D28" s="324" t="s">
        <v>23</v>
      </c>
      <c r="E28" s="324"/>
      <c r="F28" s="323" t="s">
        <v>51</v>
      </c>
      <c r="G28" s="323"/>
      <c r="H28" s="323"/>
      <c r="I28" s="323"/>
      <c r="J28" s="323"/>
      <c r="K28" s="323"/>
      <c r="L28" s="323"/>
      <c r="M28" s="323"/>
    </row>
    <row r="29" spans="2:18" s="50" customFormat="1" ht="32.25" customHeight="1" x14ac:dyDescent="0.25">
      <c r="C29" s="51"/>
      <c r="D29" s="325" t="s">
        <v>24</v>
      </c>
      <c r="E29" s="325"/>
      <c r="F29" s="327" t="s">
        <v>6464</v>
      </c>
      <c r="G29" s="327"/>
      <c r="H29" s="327"/>
      <c r="I29" s="327"/>
      <c r="J29" s="327"/>
      <c r="K29" s="327"/>
      <c r="L29" s="327"/>
      <c r="M29" s="64" t="s">
        <v>5644</v>
      </c>
    </row>
    <row r="30" spans="2:18" x14ac:dyDescent="0.25">
      <c r="M30" s="7"/>
    </row>
    <row r="41" spans="2:13" x14ac:dyDescent="0.25">
      <c r="C41" s="326" t="s">
        <v>25</v>
      </c>
      <c r="D41" s="326"/>
      <c r="E41" s="326"/>
      <c r="F41" s="326"/>
      <c r="G41" s="326"/>
      <c r="H41" s="326"/>
      <c r="I41" s="326"/>
      <c r="L41" s="322" t="s">
        <v>28</v>
      </c>
      <c r="M41" s="32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D20:H20"/>
    <mergeCell ref="I20:J20"/>
    <mergeCell ref="D19:H19"/>
    <mergeCell ref="I19:J19"/>
    <mergeCell ref="B25:M25"/>
    <mergeCell ref="J21:L21"/>
    <mergeCell ref="J22:L22"/>
    <mergeCell ref="L41:M41"/>
    <mergeCell ref="F27:M27"/>
    <mergeCell ref="D27:E27"/>
    <mergeCell ref="F28:M28"/>
    <mergeCell ref="D29:E29"/>
    <mergeCell ref="D28:E28"/>
    <mergeCell ref="C41:I41"/>
    <mergeCell ref="F29:L29"/>
    <mergeCell ref="I18:J18"/>
    <mergeCell ref="H3:K3"/>
    <mergeCell ref="J10:M10"/>
    <mergeCell ref="J11:M11"/>
    <mergeCell ref="E15:N15"/>
    <mergeCell ref="C16:M16"/>
    <mergeCell ref="D18:H18"/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2021-03-19T09:46:38Z</dcterms:modified>
</cp:coreProperties>
</file>