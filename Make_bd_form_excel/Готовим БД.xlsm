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<sst xmlns="http://schemas.openxmlformats.org/spreadsheetml/2006/main" count="20527" uniqueCount="11368">
  <si>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</si>
  <si>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</si>
  <si>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</si>
  <si>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</si>
  <si>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</si>
  <si>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</si>
  <si>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</si>
  <si>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</si>
  <si>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</si>
  <si>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</si>
  <si>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</si>
  <si>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</si>
  <si>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</si>
  <si>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</si>
  <si>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</si>
  <si>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</si>
  <si>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</si>
  <si>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</si>
  <si>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</si>
  <si>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</si>
  <si>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</si>
  <si>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</si>
  <si>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</si>
  <si>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</si>
  <si>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</si>
  <si>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</si>
  <si>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</si>
  <si>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</si>
  <si>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</si>
  <si>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</si>
  <si>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</si>
  <si>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</si>
  <si>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</si>
  <si>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</si>
  <si>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</si>
  <si>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</si>
  <si>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</si>
  <si>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</si>
  <si>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</si>
  <si>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</si>
  <si>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</si>
  <si>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</si>
  <si>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</si>
  <si>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</si>
  <si>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</si>
  <si>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</si>
  <si>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</si>
  <si>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</si>
  <si>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</si>
  <si>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</si>
  <si>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</si>
  <si>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</si>
  <si>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</si>
  <si>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</si>
  <si>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</si>
  <si>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</si>
  <si>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</si>
  <si>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</si>
  <si>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</si>
  <si>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</si>
  <si>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</si>
  <si>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</si>
  <si>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</si>
  <si>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</si>
  <si>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</si>
  <si>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</si>
  <si>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</si>
  <si>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</si>
  <si>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</si>
  <si>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</si>
  <si>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</si>
  <si>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</si>
  <si>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</si>
  <si>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</si>
  <si>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</si>
  <si>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</si>
  <si>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</si>
  <si>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</si>
  <si>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</si>
  <si>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</si>
  <si>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</si>
  <si>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</si>
  <si>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</si>
  <si>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</si>
  <si>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</si>
  <si>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</si>
  <si>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</si>
  <si>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</si>
  <si>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</si>
  <si>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</si>
  <si>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</si>
  <si>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</si>
  <si>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</si>
  <si>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</si>
  <si>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</si>
  <si>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</si>
  <si>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</si>
  <si>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</si>
  <si>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</si>
  <si>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</si>
  <si>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</si>
  <si>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</si>
  <si>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</si>
  <si>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</si>
  <si>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</si>
  <si>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</si>
  <si>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</si>
  <si>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</si>
  <si>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</si>
  <si>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</si>
  <si>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</si>
  <si>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</si>
  <si>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</si>
  <si>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</si>
  <si>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</si>
  <si>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</si>
  <si>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</si>
  <si>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</si>
  <si>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</si>
  <si>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</si>
  <si>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</si>
  <si>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</si>
  <si>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</si>
  <si>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</si>
  <si>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</si>
  <si>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</si>
  <si>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</si>
  <si>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</si>
  <si>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</si>
  <si>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</si>
  <si>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</si>
  <si>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</si>
  <si>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</si>
  <si>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</si>
  <si>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</si>
  <si>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</si>
  <si>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</si>
  <si>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</si>
  <si>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</si>
  <si>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</si>
  <si>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</si>
  <si>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</si>
  <si>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</si>
  <si>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</si>
  <si>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</si>
  <si>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</si>
  <si>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</si>
  <si>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</si>
  <si>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</si>
  <si>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</si>
  <si>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</si>
  <si>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</si>
  <si>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</si>
  <si>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</si>
  <si>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</si>
  <si>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</si>
  <si>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</si>
  <si>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</si>
  <si>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</si>
  <si>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</si>
  <si>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</si>
  <si>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</si>
  <si>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</si>
  <si>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</si>
  <si>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</si>
  <si>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</si>
  <si>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</si>
  <si>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</si>
  <si>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</si>
  <si>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</si>
  <si>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</si>
  <si>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</si>
  <si>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</si>
  <si>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</si>
  <si>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</si>
  <si>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</si>
  <si>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</si>
  <si>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</si>
  <si>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</si>
  <si>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</si>
  <si>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</si>
  <si>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</si>
  <si>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</si>
  <si>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</si>
  <si>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</si>
  <si>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</si>
  <si>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</si>
  <si>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</si>
  <si>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</si>
  <si>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</si>
  <si>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</si>
  <si>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</si>
  <si>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</si>
  <si>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</si>
  <si>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</si>
  <si>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</si>
  <si>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</si>
  <si>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</si>
  <si>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</si>
  <si>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</si>
  <si>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</si>
  <si>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</si>
  <si>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</si>
  <si>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</si>
  <si>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</si>
  <si>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</si>
  <si>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</si>
  <si>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</si>
  <si>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</si>
  <si>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</si>
  <si>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</si>
  <si>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</si>
  <si>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</si>
  <si>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</si>
  <si>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</si>
  <si>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</si>
  <si>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</si>
  <si>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</si>
  <si>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</si>
  <si>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</si>
  <si>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</si>
  <si>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</si>
  <si>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</si>
  <si>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</si>
  <si>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</si>
  <si>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</si>
  <si>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</si>
  <si>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</si>
  <si>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</si>
  <si>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</si>
  <si>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</si>
  <si>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</si>
  <si>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</si>
  <si>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</si>
  <si>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</si>
  <si>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</si>
  <si>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</si>
  <si>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</si>
  <si>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</si>
  <si>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</si>
  <si>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</si>
  <si>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</si>
  <si>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</si>
  <si>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</si>
  <si>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</si>
  <si>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</si>
  <si>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</si>
  <si>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</si>
  <si>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</si>
  <si>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</si>
  <si>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</si>
  <si>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</si>
  <si>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</si>
  <si>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</si>
  <si>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</si>
  <si>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</si>
  <si>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</si>
  <si>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</si>
  <si>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</si>
  <si>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</si>
  <si>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</si>
  <si>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</si>
  <si>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</si>
  <si>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</si>
  <si>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</si>
  <si>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</si>
  <si>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</si>
  <si>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</si>
  <si>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</si>
  <si>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</si>
  <si>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</si>
  <si>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</si>
  <si>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</si>
  <si>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</si>
  <si>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</si>
  <si>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</si>
  <si>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</si>
  <si>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</si>
  <si>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</si>
  <si>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</si>
  <si>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</si>
  <si>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</si>
  <si>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</si>
  <si>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</si>
  <si>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</si>
  <si>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</si>
  <si>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</si>
  <si>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</si>
  <si>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</si>
  <si>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</si>
  <si>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</si>
  <si>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</si>
  <si>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</si>
  <si>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</si>
  <si>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</si>
  <si>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</si>
  <si>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</si>
  <si>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</si>
  <si>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</si>
  <si>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</si>
  <si>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</si>
  <si>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</si>
  <si>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</si>
  <si>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</si>
  <si>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</si>
  <si>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</si>
  <si>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</si>
  <si>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</si>
  <si>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</si>
  <si>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</si>
  <si>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</si>
  <si>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</si>
  <si>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</si>
  <si>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</si>
  <si>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</si>
  <si>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</si>
  <si>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</si>
  <si>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</si>
  <si>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</si>
  <si>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</si>
  <si>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</si>
  <si>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</si>
  <si>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</si>
  <si>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</si>
  <si>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</si>
  <si>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</si>
  <si>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</si>
  <si>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</si>
  <si>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</si>
  <si>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</si>
  <si>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</si>
  <si>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</si>
  <si>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</si>
  <si>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</si>
  <si>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</si>
  <si>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</si>
  <si>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</si>
  <si>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</si>
  <si>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</si>
  <si>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</si>
  <si>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</si>
  <si>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</si>
  <si>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</si>
  <si>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</si>
  <si>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</si>
  <si>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</si>
  <si>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</si>
  <si>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</si>
  <si>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</si>
  <si>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</si>
  <si>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</si>
  <si>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</si>
  <si>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</si>
  <si>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</si>
  <si>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</si>
  <si>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</si>
  <si>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</si>
  <si>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</si>
  <si>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</si>
  <si>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</si>
  <si>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</si>
  <si>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</si>
  <si>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</si>
  <si>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</si>
  <si>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</si>
  <si>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</si>
  <si>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</si>
  <si>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</si>
  <si>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</si>
  <si>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</si>
  <si>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</si>
  <si>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</si>
  <si>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</si>
  <si>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</si>
  <si>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</si>
  <si>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</si>
  <si>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</si>
  <si>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</si>
  <si>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</si>
  <si>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</si>
  <si>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</si>
  <si>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</si>
  <si>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</si>
  <si>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</si>
  <si>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</si>
  <si>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</si>
  <si>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</si>
  <si>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</si>
  <si>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</si>
  <si>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</si>
  <si>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</si>
  <si>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</si>
  <si>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</si>
  <si>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</si>
  <si>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</si>
  <si>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</si>
  <si>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</si>
  <si>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</si>
  <si>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</si>
  <si>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</si>
  <si>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</si>
  <si>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</si>
  <si>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</si>
  <si>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</si>
  <si>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</si>
  <si>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</si>
  <si>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</si>
  <si>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</si>
  <si>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</si>
  <si>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</si>
  <si>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</si>
  <si>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</si>
  <si>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</si>
  <si>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</si>
  <si>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</si>
  <si>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</si>
  <si>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</si>
  <si>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</si>
  <si>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</si>
  <si>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</si>
  <si>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</si>
  <si>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</si>
  <si>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</si>
  <si>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</si>
  <si>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</si>
  <si>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</si>
  <si>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</si>
  <si>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</si>
  <si>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</si>
  <si>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</si>
  <si>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</si>
  <si>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</si>
  <si>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</si>
  <si>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</si>
  <si>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</si>
  <si>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</si>
  <si>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</si>
  <si>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</si>
  <si>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</si>
  <si>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</si>
  <si>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</si>
  <si>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</si>
  <si>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</si>
  <si>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</si>
  <si>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</si>
  <si>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</si>
  <si>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</si>
  <si>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</si>
  <si>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</si>
  <si>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</si>
  <si>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</si>
  <si>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</si>
  <si>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</si>
  <si>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</si>
  <si>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</si>
  <si>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</si>
  <si>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</si>
  <si>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</si>
  <si>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</si>
  <si>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</si>
  <si>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</si>
  <si>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</si>
  <si>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</si>
  <si>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</si>
  <si>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</si>
  <si>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</si>
  <si>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</si>
  <si>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</si>
  <si>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</si>
  <si>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</si>
  <si>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</si>
  <si>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</si>
  <si>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</si>
  <si>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</si>
  <si>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</si>
  <si>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</si>
  <si>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</si>
  <si>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</si>
  <si>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</si>
  <si>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</si>
  <si>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</si>
  <si>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</si>
  <si>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</si>
  <si>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</si>
  <si>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</si>
  <si>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</si>
  <si>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</si>
  <si>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</si>
  <si>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</si>
  <si>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</si>
  <si>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</si>
  <si>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</si>
  <si>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</si>
  <si>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</si>
  <si>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</si>
  <si>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</si>
  <si>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</si>
  <si>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</si>
  <si>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</si>
  <si>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</si>
  <si>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</si>
  <si>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</si>
  <si>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</si>
  <si>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</si>
  <si>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</si>
  <si>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</si>
  <si>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</si>
  <si>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</si>
  <si>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</si>
  <si>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</si>
  <si>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</si>
  <si>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</si>
  <si>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</si>
  <si>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</si>
  <si>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</si>
  <si>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</si>
  <si>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</si>
  <si>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</si>
  <si>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</si>
  <si>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</si>
  <si>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</si>
  <si>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</si>
  <si>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</si>
  <si>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</si>
  <si>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</si>
  <si>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</si>
  <si>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</si>
  <si>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</si>
  <si>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</si>
  <si>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</si>
  <si>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</si>
  <si>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</si>
  <si>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</si>
  <si>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</si>
  <si>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</si>
  <si>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</si>
  <si>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</si>
  <si>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</si>
  <si>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</si>
  <si>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</si>
  <si>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</si>
  <si>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</si>
  <si>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</si>
  <si>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</si>
  <si>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</si>
  <si>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</si>
  <si>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</si>
  <si>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</si>
  <si>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</si>
  <si>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</si>
  <si>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</si>
  <si>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</si>
  <si>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</si>
  <si>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</si>
  <si>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</si>
  <si>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</si>
  <si>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</si>
  <si>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</si>
  <si>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</si>
  <si>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</si>
  <si>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</si>
  <si>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</si>
  <si>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</si>
  <si>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</si>
  <si>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</si>
  <si>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</si>
  <si>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</si>
  <si>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</si>
  <si>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</si>
  <si>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</si>
  <si>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</si>
  <si>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</si>
  <si>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</si>
  <si>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</si>
  <si>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</si>
  <si>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</si>
  <si>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</si>
  <si>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</si>
  <si>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</si>
  <si>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</si>
  <si>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</si>
  <si>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</si>
  <si>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</si>
  <si>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</si>
  <si>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</si>
  <si>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</si>
  <si>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</si>
  <si>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</si>
  <si>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</si>
  <si>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</si>
  <si>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</si>
  <si>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</si>
  <si>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</si>
  <si>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</si>
  <si>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</si>
  <si>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</si>
  <si>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</si>
  <si>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</si>
  <si>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</si>
  <si>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</si>
  <si>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</si>
  <si>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</si>
  <si>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</si>
  <si>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</si>
  <si>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</si>
  <si>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</si>
  <si>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</si>
  <si>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</si>
  <si>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</si>
  <si>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</si>
  <si>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</si>
  <si>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</si>
  <si>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</si>
  <si>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</si>
  <si>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</si>
  <si>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</si>
  <si>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</si>
  <si>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</si>
  <si>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</si>
  <si>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</si>
  <si>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</si>
  <si>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</si>
  <si>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</si>
  <si>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</si>
  <si>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</si>
  <si>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</si>
  <si>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</si>
  <si>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</si>
  <si>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</si>
  <si>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</si>
  <si>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</si>
  <si>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</si>
  <si>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</si>
  <si>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</si>
  <si>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</si>
  <si>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</si>
  <si>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</si>
  <si>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</si>
  <si>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</si>
  <si>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</si>
  <si>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</si>
  <si>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</si>
  <si>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</si>
  <si>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</si>
  <si>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</si>
  <si>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</si>
  <si>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</si>
  <si>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</si>
  <si>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</si>
  <si>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</si>
  <si>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</si>
  <si>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</si>
  <si>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</si>
  <si>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</si>
  <si>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</si>
  <si>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</si>
  <si>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</si>
  <si>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</si>
  <si>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</si>
  <si>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</si>
  <si>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</si>
  <si>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</si>
  <si>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</si>
  <si>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</si>
  <si>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</si>
  <si>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</si>
  <si>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</si>
  <si>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</si>
  <si>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</si>
  <si>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</si>
  <si>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</si>
  <si>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</si>
  <si>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</si>
  <si>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</si>
  <si>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</si>
  <si>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</si>
  <si>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</si>
  <si>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</si>
  <si>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</si>
  <si>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</si>
  <si>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</si>
  <si>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</si>
  <si>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</si>
  <si>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</si>
  <si>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</si>
  <si>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</si>
  <si>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</si>
  <si>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</si>
  <si>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</si>
  <si>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</si>
  <si>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</si>
  <si>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</si>
  <si>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</si>
  <si>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</si>
  <si>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</si>
  <si>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</si>
  <si>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</si>
  <si>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</si>
  <si>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</si>
  <si>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</si>
  <si>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</si>
  <si>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</si>
  <si>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</si>
  <si>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</si>
  <si>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</si>
  <si>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</si>
  <si>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</si>
  <si>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</si>
  <si>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</si>
  <si>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</si>
  <si>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</si>
  <si>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</si>
  <si>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</si>
  <si>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</si>
  <si>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</si>
  <si>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</si>
  <si>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</si>
  <si>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</si>
  <si>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</si>
  <si>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</si>
  <si>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</si>
  <si>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</si>
  <si>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</si>
  <si>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</si>
  <si>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</si>
  <si>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</si>
  <si>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</si>
  <si>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</si>
  <si>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</si>
  <si>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</si>
  <si>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</si>
  <si>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</si>
  <si>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</si>
  <si>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</si>
  <si>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</si>
  <si>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</si>
  <si>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</si>
  <si>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</si>
  <si>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</si>
  <si>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</si>
  <si>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</si>
  <si>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</si>
  <si>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</si>
  <si>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</si>
  <si>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</si>
  <si>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</si>
  <si>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</si>
  <si>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</si>
  <si>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</si>
  <si>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</si>
  <si>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</si>
  <si>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</si>
  <si>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</si>
  <si>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</si>
  <si>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</si>
  <si>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</si>
  <si>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</si>
  <si>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</si>
  <si>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</si>
  <si>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</si>
  <si>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</si>
  <si>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</si>
  <si>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</si>
  <si>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</si>
  <si>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</si>
  <si>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</si>
  <si>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</si>
  <si>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</si>
  <si>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</si>
  <si>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</si>
  <si>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</si>
  <si>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</si>
  <si>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</si>
  <si>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</si>
  <si>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</si>
  <si>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</si>
  <si>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</si>
  <si>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</si>
  <si>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</si>
  <si>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</si>
  <si>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</si>
  <si>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</si>
  <si>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</si>
  <si>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</si>
  <si>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</si>
  <si>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</si>
  <si>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</si>
  <si>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</si>
  <si>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</si>
  <si>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</si>
  <si>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</si>
  <si>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</si>
  <si>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</si>
  <si>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</si>
  <si>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</si>
  <si>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</si>
  <si>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</si>
  <si>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</si>
  <si>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</si>
  <si>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</si>
  <si>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</si>
  <si>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</si>
  <si>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</si>
  <si>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</si>
  <si>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</si>
  <si>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</si>
  <si>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</si>
  <si>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</si>
  <si>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</si>
  <si>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</si>
  <si>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</si>
  <si>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</si>
  <si>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</si>
  <si>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</si>
  <si>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</si>
  <si>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</si>
  <si>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</si>
  <si>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</si>
  <si>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</si>
  <si>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</si>
  <si>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</si>
  <si>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</si>
  <si>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</si>
  <si>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</si>
  <si>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</si>
  <si>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</si>
  <si>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</si>
  <si>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</si>
  <si>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</si>
  <si>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</si>
  <si>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</si>
  <si>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</si>
  <si>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</si>
  <si>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</si>
  <si>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</si>
  <si>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</si>
  <si>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</si>
  <si>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</si>
  <si>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</si>
  <si>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</si>
  <si>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</si>
  <si>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</si>
  <si>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</si>
  <si>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</si>
  <si>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</si>
  <si>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</si>
  <si>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</si>
  <si>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</si>
  <si>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</si>
  <si>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</si>
  <si>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</si>
  <si>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</si>
  <si>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</si>
  <si>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</si>
  <si>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</si>
  <si>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</si>
  <si>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</si>
  <si>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</si>
  <si>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</si>
  <si>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</si>
  <si>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</si>
  <si>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</si>
  <si>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</si>
  <si>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</si>
  <si>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</si>
  <si>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</si>
  <si>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</si>
  <si>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</si>
  <si>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</si>
  <si>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</si>
  <si>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</si>
  <si>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</si>
  <si>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</si>
  <si>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</si>
  <si>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</si>
  <si>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</si>
  <si>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</si>
  <si>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</si>
  <si>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</si>
  <si>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</si>
  <si>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</si>
  <si>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</si>
  <si>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</si>
  <si>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</si>
  <si>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</si>
  <si>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</si>
  <si>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</si>
  <si>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</si>
  <si>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</si>
  <si>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</si>
  <si>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</si>
  <si>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</si>
  <si>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</si>
  <si>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</si>
  <si>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</si>
  <si>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</si>
  <si>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</si>
  <si>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</si>
  <si>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</si>
  <si>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</si>
  <si>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</si>
  <si>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</si>
  <si>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</si>
  <si>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</si>
  <si>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</si>
  <si>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</si>
  <si>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</si>
  <si>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</si>
  <si>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</si>
  <si>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</si>
  <si>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</si>
  <si>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</si>
  <si>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</si>
  <si>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</si>
  <si>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</si>
  <si>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</si>
  <si>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</si>
  <si>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</si>
  <si>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</si>
  <si>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</si>
  <si>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</si>
  <si>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</si>
  <si>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</si>
  <si>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</si>
  <si>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</si>
  <si>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</si>
  <si>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</si>
  <si>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</si>
  <si>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</si>
  <si>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</si>
  <si>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</si>
  <si>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</si>
  <si>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</si>
  <si>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</si>
  <si>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</si>
  <si>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</si>
  <si>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</si>
  <si>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</si>
  <si>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</si>
  <si>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</si>
  <si>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</si>
  <si>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</si>
  <si>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</si>
  <si>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</si>
  <si>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</si>
  <si>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</si>
  <si>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</si>
  <si>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</si>
  <si>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</si>
  <si>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</si>
  <si>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</si>
  <si>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</si>
  <si>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</si>
  <si>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</si>
  <si>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</si>
  <si>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</si>
  <si>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</si>
  <si>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</si>
  <si>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</si>
  <si>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</si>
  <si>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</si>
  <si>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</si>
  <si>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</si>
  <si>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</si>
  <si>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</si>
  <si>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</si>
  <si>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</si>
  <si>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</si>
  <si>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</si>
  <si>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</si>
  <si>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</si>
  <si>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</si>
  <si>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</si>
  <si>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</si>
  <si>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</si>
  <si>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</si>
  <si>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</si>
  <si>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</si>
  <si>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</si>
  <si>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</si>
  <si>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</si>
  <si>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</si>
  <si>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</si>
  <si>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</si>
  <si>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</si>
  <si>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</si>
  <si>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</si>
  <si>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</si>
  <si>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</si>
  <si>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</si>
  <si>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</si>
  <si>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</si>
  <si>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</si>
  <si>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</si>
  <si>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</si>
  <si>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</si>
  <si>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</si>
  <si>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</si>
  <si>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</si>
  <si>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</si>
  <si>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</si>
  <si>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</si>
  <si>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</si>
  <si>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</si>
  <si>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</si>
  <si>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</si>
  <si>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</si>
  <si>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</si>
  <si>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</si>
  <si>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</si>
  <si>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</si>
  <si>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</si>
  <si>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</si>
  <si>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</si>
  <si>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</si>
  <si>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</si>
  <si>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</si>
  <si>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</si>
  <si>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</si>
  <si>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</si>
  <si>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</si>
  <si>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</si>
  <si>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</si>
  <si>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</si>
  <si>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</si>
  <si>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</si>
  <si>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</si>
  <si>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</si>
  <si>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</si>
  <si>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</si>
  <si>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</si>
  <si>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</si>
  <si>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</si>
  <si>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</si>
  <si>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</si>
  <si>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</si>
  <si>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</si>
  <si>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</si>
  <si>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</si>
  <si>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</si>
  <si>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</si>
  <si>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</si>
  <si>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</si>
  <si>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</si>
  <si>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</si>
  <si>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</si>
  <si>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</si>
  <si>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</si>
  <si>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</si>
  <si>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</si>
  <si>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</si>
  <si>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</si>
  <si>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</si>
  <si>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</si>
  <si>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</si>
  <si>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</si>
  <si>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</si>
  <si>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</si>
  <si>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</si>
  <si>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</si>
  <si>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</si>
  <si>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</si>
  <si>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</si>
  <si>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</si>
  <si>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</si>
  <si>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</si>
  <si>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</si>
  <si>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</si>
  <si>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</si>
  <si>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</si>
  <si>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</si>
  <si>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</si>
  <si>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</si>
  <si>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</si>
  <si>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</si>
  <si>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</si>
  <si>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</si>
  <si>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</si>
  <si>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</si>
  <si>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</si>
  <si>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</si>
  <si>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</si>
  <si>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</si>
  <si>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</si>
  <si>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</si>
  <si>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</si>
  <si>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</si>
  <si>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</si>
  <si>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</si>
  <si>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</si>
  <si>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</si>
  <si>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</si>
  <si>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</si>
  <si>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</si>
  <si>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</si>
  <si>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</si>
  <si>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</si>
  <si>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</si>
  <si>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</si>
  <si>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</si>
  <si>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</si>
  <si>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</si>
  <si>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</si>
  <si>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</si>
  <si>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</si>
  <si>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</si>
  <si>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</si>
  <si>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</si>
  <si>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</si>
  <si>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</si>
  <si>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</si>
  <si>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</si>
  <si>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</si>
  <si>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</si>
  <si>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</si>
  <si>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</si>
  <si>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</si>
  <si>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</si>
  <si>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</si>
  <si>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</si>
  <si>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</si>
  <si>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</si>
  <si>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</si>
  <si>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</si>
  <si>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</si>
  <si>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</si>
  <si>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</si>
  <si>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</si>
  <si>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</si>
  <si>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</si>
  <si>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</si>
  <si>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</si>
  <si>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</si>
  <si>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</si>
  <si>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</si>
  <si>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</si>
  <si>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</si>
  <si>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</si>
  <si>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</si>
  <si>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</si>
  <si>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</si>
  <si>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</si>
  <si>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</si>
  <si>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</si>
  <si>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</si>
  <si>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</si>
  <si>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</si>
  <si>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</si>
  <si>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</si>
  <si>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</si>
  <si>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</si>
  <si>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</si>
  <si>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</si>
  <si>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</si>
  <si>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</si>
  <si>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</si>
  <si>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</si>
  <si>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</si>
  <si>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</si>
  <si>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</si>
  <si>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</si>
  <si>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</si>
  <si>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</si>
  <si>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</si>
  <si>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</si>
  <si>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</si>
  <si>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</si>
  <si>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</si>
  <si>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</si>
  <si>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</si>
  <si>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</si>
  <si>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</si>
  <si>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</si>
  <si>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</si>
  <si>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</si>
  <si>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</si>
  <si>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</si>
  <si>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</si>
  <si>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</si>
  <si>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</si>
  <si>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</si>
  <si>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</si>
  <si>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</si>
  <si>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</si>
  <si>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</si>
  <si>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</si>
  <si>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</si>
  <si>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</si>
  <si>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</si>
  <si>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</si>
  <si>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</si>
  <si>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</si>
  <si>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</si>
  <si>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</si>
  <si>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</si>
  <si>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</si>
  <si>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</si>
  <si>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</si>
  <si>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</si>
  <si>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</si>
  <si>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</si>
  <si>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</si>
  <si>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</si>
  <si>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</si>
  <si>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</si>
  <si>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</si>
  <si>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</si>
  <si>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</si>
  <si>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</si>
  <si>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</si>
  <si>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</si>
  <si>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</si>
  <si>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</si>
  <si>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</si>
  <si>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</si>
  <si>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</si>
  <si>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</si>
  <si>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</si>
  <si>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</si>
  <si>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</si>
  <si>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</si>
  <si>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</si>
  <si>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</si>
  <si>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</si>
  <si>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</si>
  <si>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</si>
  <si>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</si>
  <si>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</si>
  <si>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</si>
  <si>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</si>
  <si>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</si>
  <si>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</si>
  <si>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</si>
  <si>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</si>
  <si>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</si>
  <si>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</si>
  <si>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</si>
  <si>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</si>
  <si>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</si>
  <si>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</si>
  <si>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</si>
  <si>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</si>
  <si>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</si>
  <si>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</si>
  <si>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</si>
  <si>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</si>
  <si>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</si>
  <si>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</si>
  <si>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</si>
  <si>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</si>
  <si>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</si>
  <si>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</si>
  <si>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</si>
  <si>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</si>
  <si>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</si>
  <si>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</si>
  <si>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</si>
  <si>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</si>
  <si>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</si>
  <si>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</si>
  <si>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</si>
  <si>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</si>
  <si>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</si>
  <si>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</si>
  <si>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</si>
  <si>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</si>
  <si>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</si>
  <si>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</si>
  <si>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</si>
  <si>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</si>
  <si>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</si>
  <si>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</si>
  <si>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</si>
  <si>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</si>
  <si>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</si>
  <si>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</si>
  <si>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</si>
  <si>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</si>
  <si>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</si>
  <si>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</si>
  <si>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</si>
  <si>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</si>
  <si>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</si>
  <si>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</si>
  <si>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</si>
  <si>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</si>
  <si>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</si>
  <si>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</si>
  <si>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</si>
  <si>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</si>
  <si>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</si>
  <si>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</si>
  <si>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</si>
  <si>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</si>
  <si>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</si>
  <si>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</si>
  <si>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</si>
  <si>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</si>
  <si>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</si>
  <si>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</si>
  <si>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</si>
  <si>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</si>
  <si>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</si>
  <si>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</si>
  <si>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</si>
  <si>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</si>
  <si>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</si>
  <si>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</si>
  <si>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</si>
  <si>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</si>
  <si>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</si>
  <si>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</si>
  <si>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</si>
  <si>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</si>
  <si>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</si>
  <si>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</si>
  <si>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</si>
  <si>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</si>
  <si>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</si>
  <si>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</si>
  <si>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</si>
  <si>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</si>
  <si>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</si>
  <si>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</si>
  <si>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</si>
  <si>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</si>
  <si>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</si>
  <si>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</si>
  <si>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</si>
  <si>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</si>
  <si>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</si>
  <si>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</si>
  <si>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</si>
  <si>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</si>
  <si>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</si>
  <si>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</si>
  <si>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</si>
  <si>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</si>
  <si>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</si>
  <si>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</si>
  <si>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</si>
  <si>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</si>
  <si>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</si>
  <si>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</si>
  <si>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</si>
  <si>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</si>
  <si>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</si>
  <si>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</si>
  <si>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</si>
  <si>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</si>
  <si>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</si>
  <si>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</si>
  <si>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</si>
  <si>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</si>
  <si>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</si>
  <si>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</si>
  <si>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</si>
  <si>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</si>
  <si>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</si>
  <si>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</si>
  <si>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</si>
  <si>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</si>
  <si>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</si>
  <si>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</si>
  <si>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</si>
  <si>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</si>
  <si>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</si>
  <si>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</si>
  <si>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</si>
  <si>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</si>
  <si>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</si>
  <si>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</si>
  <si>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</si>
  <si>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</si>
  <si>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</si>
  <si>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</si>
  <si>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</si>
  <si>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</si>
  <si>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</si>
  <si>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</si>
  <si>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</si>
  <si>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</si>
  <si>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</si>
  <si>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</si>
  <si>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</si>
  <si>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</si>
  <si>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</si>
  <si>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</si>
  <si>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</si>
  <si>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</si>
  <si>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</si>
  <si>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</si>
  <si>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</si>
  <si>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</si>
  <si>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</si>
  <si>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</si>
  <si>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</si>
  <si>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</si>
  <si>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</si>
  <si>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</si>
  <si>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</si>
  <si>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</si>
  <si>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</si>
  <si>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</si>
  <si>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</si>
  <si>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</si>
  <si>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</si>
  <si>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</si>
  <si>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</si>
  <si>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</si>
  <si>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</si>
  <si>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</si>
  <si>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</si>
  <si>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</si>
  <si>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</si>
  <si>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</si>
  <si>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</si>
  <si>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</si>
  <si>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</si>
  <si>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</si>
  <si>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</si>
  <si>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</si>
  <si>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</si>
  <si>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</si>
  <si>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</si>
  <si>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</si>
  <si>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</si>
  <si>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</si>
  <si>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</si>
  <si>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</si>
  <si>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</si>
  <si>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</si>
  <si>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</si>
  <si>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</si>
  <si>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</si>
  <si>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</si>
  <si>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</si>
  <si>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</si>
  <si>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</si>
  <si>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</si>
  <si>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</si>
  <si>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</si>
  <si>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</si>
  <si>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</si>
  <si>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</si>
  <si>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</si>
  <si>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</si>
  <si>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</si>
  <si>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</si>
  <si>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</si>
  <si>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</si>
  <si>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</si>
  <si>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</si>
  <si>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</si>
  <si>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</si>
  <si>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</si>
  <si>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</si>
  <si>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</si>
  <si>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</si>
  <si>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</si>
  <si>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</si>
  <si>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</si>
  <si>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</si>
  <si>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</si>
  <si>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</si>
  <si>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</si>
  <si>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</si>
  <si>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</si>
  <si>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</si>
  <si>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</si>
  <si>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</si>
  <si>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</si>
  <si>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</si>
  <si>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</si>
  <si>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</si>
  <si>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</si>
  <si>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</si>
  <si>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</si>
  <si>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</si>
  <si>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</si>
  <si>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</si>
  <si>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</si>
  <si>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</si>
  <si>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</si>
  <si>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</si>
  <si>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</si>
  <si>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</si>
  <si>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</si>
  <si>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</si>
  <si>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</si>
  <si>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</si>
  <si>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</si>
  <si>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</si>
  <si>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</si>
  <si>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</si>
  <si>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</si>
  <si>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</si>
  <si>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</si>
  <si>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</si>
  <si>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</si>
  <si>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</si>
  <si>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</si>
  <si>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</si>
  <si>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</si>
  <si>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</si>
  <si>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</si>
  <si>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</si>
  <si>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</si>
  <si>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</si>
  <si>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</si>
  <si>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</si>
  <si>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</si>
  <si>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</si>
  <si>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</si>
  <si>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</si>
  <si>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</si>
  <si>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</si>
  <si>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</si>
  <si>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</si>
  <si>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</si>
  <si>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</si>
  <si>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</si>
  <si>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</si>
  <si>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</si>
  <si>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</si>
  <si>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</si>
  <si>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</si>
  <si>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</si>
  <si>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</si>
  <si>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</si>
  <si>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</si>
  <si>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</si>
  <si>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</si>
  <si>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</si>
  <si>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</si>
  <si>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</si>
  <si>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</si>
  <si>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</si>
  <si>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</si>
  <si>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</si>
  <si>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</si>
  <si>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</si>
  <si>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</si>
  <si>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</si>
  <si>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</si>
  <si>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</si>
  <si>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</si>
  <si>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</si>
  <si>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</si>
  <si>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</si>
  <si>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</si>
  <si>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</si>
  <si>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</si>
  <si>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</si>
  <si>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</si>
  <si>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</si>
  <si>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</si>
  <si>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</si>
  <si>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</si>
  <si>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</si>
  <si>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</si>
  <si>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</si>
  <si>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</si>
  <si>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</si>
  <si>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</si>
  <si>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</si>
  <si>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</si>
  <si>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</si>
  <si>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</si>
  <si>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</si>
  <si>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</si>
  <si>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</si>
  <si>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</si>
  <si>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</si>
  <si>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</si>
  <si>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</si>
  <si>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</si>
  <si>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</si>
  <si>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</si>
  <si>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</si>
  <si>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</si>
  <si>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</si>
  <si>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</si>
  <si>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</si>
  <si>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</si>
  <si>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</si>
  <si>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</si>
  <si>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</si>
  <si>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</si>
  <si>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</si>
  <si>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</si>
  <si>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</si>
  <si>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</si>
  <si>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</si>
  <si>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</si>
  <si>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</si>
  <si>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</si>
  <si>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</si>
  <si>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</si>
  <si>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</si>
  <si>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</si>
  <si>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</si>
  <si>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</si>
  <si>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</si>
  <si>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</si>
  <si>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</si>
  <si>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</si>
  <si>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</si>
  <si>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</si>
  <si>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</si>
  <si>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</si>
  <si>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</si>
  <si>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</si>
  <si>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</si>
  <si>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</si>
  <si>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</si>
  <si>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</si>
  <si>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</si>
  <si>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</si>
  <si>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</si>
  <si>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</si>
  <si>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</si>
  <si>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</si>
  <si>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</si>
  <si>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</si>
  <si>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</si>
  <si>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</si>
  <si>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</si>
  <si>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</si>
  <si>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</si>
  <si>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</si>
  <si>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</si>
  <si>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</si>
  <si>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</si>
  <si>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</si>
  <si>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</si>
  <si>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</si>
  <si>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</si>
  <si>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</si>
  <si>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</si>
  <si>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</si>
  <si>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</si>
  <si>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</si>
  <si>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</si>
  <si>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</si>
  <si>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</si>
  <si>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</si>
  <si>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</si>
  <si>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</si>
  <si>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</si>
  <si>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</si>
  <si>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</si>
  <si>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</si>
  <si>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</si>
  <si>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</si>
  <si>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</si>
  <si>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</si>
  <si>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</si>
  <si>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</si>
  <si>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</si>
  <si>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</si>
  <si>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</si>
  <si>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</si>
  <si>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</si>
  <si>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</si>
  <si>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</si>
  <si>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</si>
  <si>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</si>
  <si>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</si>
  <si>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</si>
  <si>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</si>
  <si>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</si>
  <si>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</si>
  <si>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</si>
  <si>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</si>
  <si>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</si>
  <si>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</si>
  <si>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</si>
  <si>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</si>
  <si>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</si>
  <si>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</si>
  <si>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</si>
  <si>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</si>
  <si>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</si>
  <si>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</si>
  <si>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</si>
  <si>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</si>
  <si>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</si>
  <si>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</si>
  <si>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</si>
  <si>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</si>
  <si>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</si>
  <si>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</si>
  <si>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</si>
  <si>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</si>
  <si>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</si>
  <si>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</si>
  <si>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</si>
  <si>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</si>
  <si>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</si>
  <si>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</si>
  <si>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</si>
  <si>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</si>
  <si>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</si>
  <si>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</si>
  <si>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</si>
  <si>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</si>
  <si>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</si>
  <si>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</si>
  <si>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</si>
  <si>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</si>
  <si>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</si>
  <si>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</si>
  <si>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</si>
  <si>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</si>
  <si>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</si>
  <si>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</si>
  <si>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</si>
  <si>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</si>
  <si>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</si>
  <si>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</si>
  <si>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</si>
  <si>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</si>
  <si>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</si>
  <si>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</si>
  <si>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</si>
  <si>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</si>
  <si>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</si>
  <si>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</si>
  <si>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</si>
  <si>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</si>
  <si>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</si>
  <si>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</si>
  <si>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</si>
  <si>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</si>
  <si>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</si>
  <si>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</si>
  <si>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</si>
  <si>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</si>
  <si>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</si>
  <si>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</si>
  <si>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</si>
  <si>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</si>
  <si>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</si>
  <si>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</si>
  <si>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</si>
  <si>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</si>
  <si>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</si>
  <si>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</si>
  <si>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</si>
  <si>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</si>
  <si>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</si>
  <si>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</si>
  <si>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</si>
  <si>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</si>
  <si>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</si>
  <si>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</si>
  <si>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</si>
  <si>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</si>
  <si>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</si>
  <si>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</si>
  <si>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</si>
  <si>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</si>
  <si>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</si>
  <si>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</si>
  <si>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</si>
  <si>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</si>
  <si>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</si>
  <si>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</si>
  <si>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</si>
  <si>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</si>
  <si>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</si>
  <si>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</si>
  <si>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</si>
  <si>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</si>
  <si>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</si>
  <si>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</si>
  <si>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</si>
  <si>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</si>
  <si>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</si>
  <si>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</si>
  <si>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</si>
  <si>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</si>
  <si>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</si>
  <si>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</si>
  <si>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</si>
  <si>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</si>
  <si>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</si>
  <si>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</si>
  <si>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</si>
  <si>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</si>
  <si>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</si>
  <si>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</si>
  <si>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</si>
  <si>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</si>
  <si>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</si>
  <si>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</si>
  <si>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</si>
  <si>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</si>
  <si>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</si>
  <si>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</si>
  <si>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</si>
  <si>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</si>
  <si>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</si>
  <si>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</si>
  <si>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</si>
  <si>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</si>
  <si>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</si>
  <si>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</si>
  <si>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</si>
  <si>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</si>
  <si>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</si>
  <si>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</si>
  <si>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</si>
  <si>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</si>
  <si>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</si>
  <si>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</si>
  <si>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</si>
  <si>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</si>
  <si>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</si>
  <si>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</si>
  <si>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</si>
  <si>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</si>
  <si>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</si>
  <si>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</si>
  <si>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</si>
  <si>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</si>
  <si>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</si>
  <si>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</si>
  <si>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</si>
  <si>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</si>
  <si>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</si>
  <si>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</si>
  <si>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</si>
  <si>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</si>
  <si>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</si>
  <si>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</si>
  <si>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</si>
  <si>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</si>
  <si>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</si>
  <si>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</si>
  <si>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</si>
  <si>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</si>
  <si>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</si>
  <si>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</si>
  <si>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</si>
  <si>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</si>
  <si>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</si>
  <si>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</si>
  <si>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</si>
  <si>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</si>
  <si>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</si>
  <si>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</si>
  <si>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</si>
  <si>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</si>
  <si>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</si>
  <si>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</si>
  <si>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</si>
  <si>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</si>
  <si>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</si>
  <si>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</si>
  <si>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</si>
  <si>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</si>
  <si>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</si>
  <si>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</si>
  <si>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</si>
  <si>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</si>
  <si>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</si>
  <si>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</si>
  <si>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</si>
  <si>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</si>
  <si>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</si>
  <si>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</si>
  <si>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</si>
  <si>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</si>
  <si>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</si>
  <si>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</si>
  <si>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</si>
  <si>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</si>
  <si>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</si>
  <si>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</si>
  <si>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</si>
  <si>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</si>
  <si>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</si>
  <si>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</si>
  <si>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</si>
  <si>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</si>
  <si>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</si>
  <si>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</si>
  <si>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</si>
  <si>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</si>
  <si>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</si>
  <si>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</si>
  <si>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</si>
  <si>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</si>
  <si>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</si>
  <si>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</si>
  <si>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</si>
  <si>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</si>
  <si>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</si>
  <si>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</si>
  <si>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</si>
  <si>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</si>
  <si>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</si>
  <si>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</si>
  <si>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</si>
  <si>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</si>
  <si>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</si>
  <si>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</si>
  <si>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</si>
  <si>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</si>
  <si>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</si>
  <si>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</si>
  <si>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</si>
  <si>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</si>
  <si>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</si>
  <si>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</si>
  <si>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</si>
  <si>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</si>
  <si>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</si>
  <si>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</si>
  <si>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</si>
  <si>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</si>
  <si>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</si>
  <si>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</si>
  <si>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</si>
  <si>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</si>
  <si>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</si>
  <si>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</si>
  <si>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</si>
  <si>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</si>
  <si>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</si>
  <si>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</si>
  <si>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</si>
  <si>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</si>
  <si>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</si>
  <si>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</si>
  <si>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</si>
  <si>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</si>
  <si>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</si>
  <si>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</si>
  <si>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</si>
  <si>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</si>
  <si>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</si>
  <si>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</si>
  <si>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</si>
  <si>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</si>
  <si>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</si>
  <si>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</si>
  <si>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</si>
  <si>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</si>
  <si>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</si>
  <si>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</si>
  <si>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</si>
  <si>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</si>
  <si>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</si>
  <si>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</si>
  <si>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</si>
  <si>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</si>
  <si>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</si>
  <si>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</si>
  <si>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</si>
  <si>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</si>
  <si>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</si>
  <si>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</si>
  <si>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</si>
  <si>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</si>
  <si>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</si>
  <si>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</si>
  <si>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</si>
  <si>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</si>
  <si>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</si>
  <si>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</si>
  <si>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</si>
  <si>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</si>
  <si>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</si>
  <si>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</si>
  <si>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</si>
  <si>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</si>
  <si>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</si>
  <si>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</si>
  <si>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</si>
  <si>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</si>
  <si>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</si>
  <si>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</si>
  <si>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</si>
  <si>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</si>
  <si>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</si>
  <si>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</si>
  <si>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</si>
  <si>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</si>
  <si>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</si>
  <si>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</si>
  <si>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</si>
  <si>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</si>
  <si>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</si>
  <si>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</si>
  <si>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</si>
  <si>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</si>
  <si>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</si>
  <si>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</si>
  <si>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</si>
  <si>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</si>
  <si>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</si>
  <si>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</si>
  <si>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</si>
  <si>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</si>
  <si>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</si>
  <si>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</si>
  <si>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</si>
  <si>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</si>
  <si>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</si>
  <si>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</si>
  <si>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</si>
  <si>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</si>
  <si>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</si>
  <si>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</si>
  <si>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</si>
  <si>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</si>
  <si>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</si>
  <si>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</si>
  <si>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</si>
  <si>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</si>
  <si>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</si>
  <si>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</si>
  <si>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</si>
  <si>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</si>
  <si>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</si>
  <si>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</si>
  <si>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</si>
  <si>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</si>
  <si>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</si>
  <si>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</si>
  <si>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</si>
  <si>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</si>
  <si>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</si>
  <si>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</si>
  <si>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</si>
  <si>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</si>
  <si>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</si>
  <si>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</si>
  <si>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</si>
  <si>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</si>
  <si>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</si>
  <si>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</si>
  <si>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</si>
  <si>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</si>
  <si>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</si>
  <si>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</si>
  <si>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</si>
  <si>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</si>
  <si>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</si>
  <si>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</si>
  <si>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</si>
  <si>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</si>
  <si>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</si>
  <si>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</si>
  <si>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</si>
  <si>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</si>
  <si>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</si>
  <si>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</si>
  <si>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</si>
  <si>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</si>
  <si>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</si>
  <si>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</si>
  <si>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</si>
  <si>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</si>
  <si>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</si>
  <si>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</si>
  <si>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</si>
  <si>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</si>
  <si>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</si>
  <si>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</si>
  <si>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</si>
  <si>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</si>
  <si>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</si>
  <si>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</si>
  <si>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</si>
  <si>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</si>
  <si>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</si>
  <si>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</si>
  <si>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</si>
  <si>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</si>
  <si>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</si>
  <si>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</si>
  <si>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</si>
  <si>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</si>
  <si>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</si>
  <si>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</si>
  <si>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</si>
  <si>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</si>
  <si>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</si>
  <si>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</si>
  <si>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</si>
  <si>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</si>
  <si>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</si>
  <si>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</si>
  <si>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</si>
  <si>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</si>
  <si>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</si>
  <si>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</si>
  <si>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</si>
  <si>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</si>
  <si>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</si>
  <si>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</si>
  <si>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</si>
  <si>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</si>
  <si>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</si>
  <si>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</si>
  <si>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</si>
  <si>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</si>
  <si>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</si>
  <si>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</si>
  <si>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</si>
  <si>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</si>
  <si>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</si>
  <si>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</si>
  <si>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</si>
  <si>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</si>
  <si>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</si>
  <si>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</si>
  <si>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</si>
  <si>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</si>
  <si>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</si>
  <si>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</si>
  <si>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</si>
  <si>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</si>
  <si>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</si>
  <si>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</si>
  <si>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</si>
  <si>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</si>
  <si>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</si>
  <si>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</si>
  <si>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</si>
  <si>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</si>
  <si>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</si>
  <si>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</si>
  <si>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</si>
  <si>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</si>
  <si>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</si>
  <si>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</si>
  <si>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</si>
  <si>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</si>
  <si>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</si>
  <si>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</si>
  <si>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</si>
  <si>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</si>
  <si>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</si>
  <si>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</si>
  <si>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</si>
  <si>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</si>
  <si>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</si>
  <si>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</si>
  <si>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</si>
  <si>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</si>
  <si>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</si>
  <si>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</si>
  <si>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</si>
  <si>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</si>
  <si>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</si>
  <si>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</si>
  <si>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</si>
  <si>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</si>
  <si>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</si>
  <si>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</si>
  <si>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</si>
  <si>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</si>
  <si>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</si>
  <si>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</si>
  <si>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</si>
  <si>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</si>
  <si>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</si>
  <si>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</si>
  <si>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</si>
  <si>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</si>
  <si>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</si>
  <si>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</si>
  <si>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</si>
  <si>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</si>
  <si>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</si>
  <si>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</si>
  <si>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</si>
  <si>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</si>
  <si>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</si>
  <si>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</si>
  <si>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</si>
  <si>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</si>
  <si>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</si>
  <si>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</si>
  <si>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</si>
  <si>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</si>
  <si>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</si>
  <si>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</si>
  <si>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</si>
  <si>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</si>
  <si>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</si>
  <si>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</si>
  <si>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</si>
  <si>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</si>
  <si>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</si>
  <si>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</si>
  <si>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</si>
  <si>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</si>
  <si>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</si>
  <si>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</si>
  <si>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</si>
  <si>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</si>
  <si>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</si>
  <si>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</si>
  <si>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</si>
  <si>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</si>
  <si>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</si>
  <si>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</si>
  <si>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</si>
  <si>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</si>
  <si>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</si>
  <si>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</si>
  <si>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</si>
  <si>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</si>
  <si>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</si>
  <si>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</si>
  <si>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</si>
  <si>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</si>
  <si>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</si>
  <si>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</si>
  <si>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</si>
  <si>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</si>
  <si>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</si>
  <si>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</si>
  <si>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</si>
  <si>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</si>
  <si>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</si>
  <si>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</si>
  <si>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</si>
  <si>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</si>
  <si>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</si>
  <si>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</si>
  <si>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</si>
  <si>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</si>
  <si>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</si>
  <si>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</si>
  <si>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</si>
  <si>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</si>
  <si>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</si>
  <si>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</si>
  <si>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</si>
  <si>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</si>
  <si>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</si>
  <si>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</si>
  <si>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</si>
  <si>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</si>
  <si>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</si>
  <si>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</si>
  <si>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</si>
  <si>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</si>
  <si>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</si>
  <si>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</si>
  <si>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</si>
  <si>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</si>
  <si>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</si>
  <si>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</si>
  <si>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</si>
  <si>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</si>
  <si>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</si>
  <si>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</si>
  <si>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</si>
  <si>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</si>
  <si>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</si>
  <si>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</si>
  <si>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</si>
  <si>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</si>
  <si>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</si>
  <si>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</si>
  <si>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</si>
  <si>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</si>
  <si>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</si>
  <si>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</si>
  <si>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</si>
  <si>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</si>
  <si>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</si>
  <si>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</si>
  <si>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</si>
  <si>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</si>
  <si>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</si>
  <si>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</si>
  <si>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</si>
  <si>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</si>
  <si>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</si>
  <si>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</si>
  <si>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</si>
  <si>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</si>
  <si>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</si>
  <si>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</si>
  <si>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</si>
  <si>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</si>
  <si>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</si>
  <si>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</si>
  <si>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</si>
  <si>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</si>
  <si>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</si>
  <si>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</si>
  <si>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</si>
  <si>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</si>
  <si>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</si>
  <si>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</si>
  <si>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</si>
  <si>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</si>
  <si>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</si>
  <si>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</si>
  <si>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</si>
  <si>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</si>
  <si>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</si>
  <si>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</si>
  <si>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</si>
  <si>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</si>
  <si>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</si>
  <si>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</si>
  <si>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</si>
  <si>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</si>
  <si>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</si>
  <si>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</si>
  <si>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</si>
  <si>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</si>
  <si>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</si>
  <si>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</si>
  <si>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</si>
  <si>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</si>
  <si>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</si>
  <si>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</si>
  <si>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</si>
  <si>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</si>
  <si>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</si>
  <si>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</si>
  <si>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</si>
  <si>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</si>
  <si>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</si>
  <si>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</si>
  <si>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</si>
  <si>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</si>
  <si>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</si>
  <si>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</si>
  <si>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</si>
  <si>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</si>
  <si>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</si>
  <si>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</si>
  <si>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</si>
  <si>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</si>
  <si>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</si>
  <si>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</si>
  <si>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</si>
  <si>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</si>
  <si>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</si>
  <si>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</si>
  <si>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</si>
  <si>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</si>
  <si>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</si>
  <si>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</si>
  <si>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</si>
  <si>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</si>
  <si>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</si>
  <si>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</si>
  <si>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</si>
  <si>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</si>
  <si>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</si>
  <si>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</si>
  <si>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</si>
  <si>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</si>
  <si>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</si>
  <si>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</si>
  <si>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</si>
  <si>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</si>
  <si>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</si>
  <si>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</si>
  <si>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</si>
  <si>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</si>
  <si>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</si>
  <si>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</si>
  <si>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</si>
  <si>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</si>
  <si>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</si>
  <si>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</si>
  <si>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</si>
  <si>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</si>
  <si>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</si>
  <si>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</si>
  <si>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</si>
  <si>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</si>
  <si>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</si>
  <si>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</si>
  <si>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</si>
  <si>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</si>
  <si>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</si>
  <si>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</si>
  <si>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</si>
  <si>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</si>
  <si>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</si>
  <si>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</si>
  <si>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</si>
  <si>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</si>
  <si>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</si>
  <si>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</si>
  <si>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</si>
  <si>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</si>
  <si>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</si>
  <si>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</si>
  <si>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</si>
  <si>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</si>
  <si>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</si>
  <si>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</si>
  <si>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</si>
  <si>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</si>
  <si>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</si>
  <si>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</si>
  <si>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</si>
  <si>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</si>
  <si>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</si>
  <si>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</si>
  <si>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</si>
  <si>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</si>
  <si>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</si>
  <si>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</si>
  <si>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</si>
  <si>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</si>
  <si>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</si>
  <si>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</si>
  <si>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</si>
  <si>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</si>
  <si>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</si>
  <si>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</si>
  <si>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</si>
  <si>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</si>
  <si>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</si>
  <si>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</si>
  <si>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</si>
  <si>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</si>
  <si>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</si>
  <si>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</si>
  <si>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</si>
  <si>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</si>
  <si>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</si>
  <si>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</si>
  <si>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</si>
  <si>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</si>
  <si>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</si>
  <si>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</si>
  <si>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</si>
  <si>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</si>
  <si>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</si>
  <si>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</si>
  <si>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</si>
  <si>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</si>
  <si>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</si>
  <si>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</si>
  <si>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</si>
  <si>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</si>
  <si>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</si>
  <si>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</si>
  <si>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</si>
  <si>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</si>
  <si>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</si>
  <si>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</si>
  <si>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</si>
  <si>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</si>
  <si>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</si>
  <si>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</si>
  <si>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</si>
  <si>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</si>
  <si>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</si>
  <si>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</si>
  <si>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</si>
  <si>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</si>
  <si>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</si>
  <si>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</si>
  <si>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</si>
  <si>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</si>
  <si>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</si>
  <si>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</si>
  <si>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</si>
  <si>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</si>
  <si>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</si>
  <si>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</si>
  <si>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</si>
  <si>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</si>
  <si>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</si>
  <si>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</si>
  <si>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</si>
  <si>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</si>
  <si>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</si>
  <si>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</si>
  <si>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</si>
  <si>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</si>
  <si>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</si>
  <si>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</si>
  <si>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</si>
  <si>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</si>
  <si>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</si>
  <si>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</si>
  <si>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</si>
  <si>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</si>
  <si>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</si>
  <si>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</si>
  <si>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</si>
  <si>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</si>
  <si>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</si>
  <si>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</si>
  <si>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</si>
  <si>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</si>
  <si>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</si>
  <si>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</si>
  <si>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</si>
  <si>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</si>
  <si>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</si>
  <si>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</si>
  <si>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</si>
  <si>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</si>
  <si>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</si>
  <si>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</si>
  <si>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</si>
  <si>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</si>
  <si>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</si>
  <si>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</si>
  <si>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</si>
  <si>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</si>
  <si>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</si>
  <si>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</si>
  <si>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</si>
  <si>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</si>
  <si>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</si>
  <si>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</si>
  <si>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</si>
  <si>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</si>
  <si>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</si>
  <si>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</si>
  <si>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</si>
  <si>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</si>
  <si>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</si>
  <si>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</si>
  <si>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</si>
  <si>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</si>
  <si>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</si>
  <si>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</si>
  <si>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</si>
  <si>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</si>
  <si>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</si>
  <si>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</si>
  <si>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</si>
  <si>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</si>
  <si>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</si>
  <si>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</si>
  <si>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</si>
  <si>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</si>
  <si>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</si>
  <si>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</si>
  <si>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</si>
  <si>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</si>
  <si>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</si>
  <si>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</si>
  <si>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</si>
  <si>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</si>
  <si>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</si>
  <si>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</si>
  <si>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</si>
  <si>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</si>
  <si>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</si>
  <si>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</si>
  <si>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</si>
  <si>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</si>
  <si>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</si>
  <si>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</si>
  <si>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</si>
  <si>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</si>
  <si>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</si>
  <si>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</si>
  <si>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</si>
  <si>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</si>
  <si>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</si>
  <si>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</si>
  <si>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</si>
  <si>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</si>
  <si>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</si>
  <si>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</si>
  <si>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</si>
  <si>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</si>
  <si>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</si>
  <si>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</si>
  <si>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</si>
  <si>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</si>
  <si>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</si>
  <si>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</si>
  <si>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</si>
  <si>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</si>
  <si>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</si>
  <si>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</si>
  <si>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</si>
  <si>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</si>
  <si>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</si>
  <si>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</si>
  <si>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</si>
  <si>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</si>
  <si>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</si>
  <si>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</si>
  <si>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</si>
  <si>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</si>
  <si>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</si>
  <si>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</si>
  <si>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</si>
  <si>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</si>
  <si>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</si>
  <si>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</si>
  <si>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</si>
  <si>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</si>
  <si>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</si>
  <si>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</si>
  <si>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</si>
  <si>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</si>
  <si>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</si>
  <si>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</si>
  <si>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</si>
  <si>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</si>
  <si>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</si>
  <si>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</si>
  <si>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</si>
  <si>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</si>
  <si>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</si>
  <si>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</si>
  <si>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</si>
  <si>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</si>
  <si>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</si>
  <si>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</si>
  <si>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</si>
  <si>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</si>
  <si>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</si>
  <si>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</si>
  <si>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</si>
  <si>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</si>
  <si>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</si>
  <si>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</si>
  <si>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</si>
  <si>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</si>
  <si>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</si>
  <si>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</si>
  <si>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</si>
  <si>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</si>
  <si>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</si>
  <si>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</si>
  <si>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</si>
  <si>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</si>
  <si>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</si>
  <si>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</si>
  <si>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</si>
  <si>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</si>
  <si>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</si>
  <si>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</si>
  <si>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</si>
  <si>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</si>
  <si>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</si>
  <si>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</si>
  <si>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</si>
  <si>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</si>
  <si>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</si>
  <si>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</si>
  <si>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</si>
  <si>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</si>
  <si>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</si>
  <si>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</si>
  <si>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</si>
  <si>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</si>
  <si>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</si>
  <si>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</si>
  <si>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</si>
  <si>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</si>
  <si>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</si>
  <si>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</si>
  <si>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</si>
  <si>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</si>
  <si>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</si>
  <si>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</si>
  <si>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</si>
  <si>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</si>
  <si>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</si>
  <si>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</si>
  <si>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</si>
  <si>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</si>
  <si>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</si>
  <si>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</si>
  <si>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</si>
  <si>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</si>
  <si>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</si>
  <si>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</si>
  <si>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</si>
  <si>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</si>
  <si>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</si>
  <si>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</si>
  <si>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</si>
  <si>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</si>
  <si>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</si>
  <si>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</si>
  <si>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</si>
  <si>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</si>
  <si>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</si>
  <si>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</si>
  <si>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</si>
  <si>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</si>
  <si>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</si>
  <si>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</si>
  <si>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</si>
  <si>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</si>
  <si>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</si>
  <si>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</si>
  <si>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</si>
  <si>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</si>
  <si>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</si>
  <si>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</si>
  <si>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</si>
  <si>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</si>
  <si>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</si>
  <si>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</si>
  <si>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</si>
  <si>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</si>
  <si>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</si>
  <si>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</si>
  <si>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</si>
  <si>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</si>
  <si>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</si>
  <si>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</si>
  <si>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</si>
  <si>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</si>
  <si>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</si>
  <si>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</si>
  <si>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</si>
  <si>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</si>
  <si>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</si>
  <si>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</si>
  <si>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</si>
  <si>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</si>
  <si>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</si>
  <si>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</si>
  <si>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</si>
  <si>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</si>
  <si>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</si>
  <si>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</si>
  <si>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</si>
  <si>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</si>
  <si>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</si>
  <si>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</si>
  <si>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</si>
  <si>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</si>
  <si>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</si>
  <si>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</si>
  <si>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</si>
  <si>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</si>
  <si>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</si>
  <si>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</si>
  <si>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</si>
  <si>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</si>
  <si>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</si>
  <si>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</si>
  <si>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</si>
  <si>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</si>
  <si>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</si>
  <si>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</si>
  <si>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</si>
  <si>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</si>
  <si>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</si>
  <si>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</si>
  <si>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</si>
  <si>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</si>
  <si>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</si>
  <si>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</si>
  <si>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</si>
  <si>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</si>
  <si>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</si>
  <si>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</si>
  <si>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</si>
  <si>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</si>
  <si>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</si>
  <si>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</si>
  <si>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</si>
  <si>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</si>
  <si>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</si>
  <si>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</si>
  <si>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</si>
  <si>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</si>
  <si>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</si>
  <si>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</si>
  <si>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</si>
  <si>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</si>
  <si>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</si>
  <si>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</si>
  <si>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</si>
  <si>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</si>
  <si>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</si>
  <si>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</si>
  <si>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</si>
  <si>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</si>
  <si>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</si>
  <si>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</si>
  <si>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</si>
  <si>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</si>
  <si>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</si>
  <si>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</si>
  <si>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</si>
  <si>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</si>
  <si>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</si>
  <si>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</si>
  <si>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</si>
  <si>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</si>
  <si>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</si>
  <si>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</si>
  <si>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</si>
  <si>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</si>
  <si>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</si>
  <si>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</si>
  <si>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</si>
  <si>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</si>
  <si>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</si>
  <si>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</si>
  <si>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</si>
  <si>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</si>
  <si>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</si>
  <si>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</si>
  <si>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</si>
  <si>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</si>
  <si>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</si>
  <si>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</si>
  <si>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</si>
  <si>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</si>
  <si>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</si>
  <si>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</si>
  <si>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</si>
  <si>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</si>
  <si>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</si>
  <si>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</si>
  <si>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</si>
  <si>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</si>
  <si>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</si>
  <si>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</si>
  <si>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</si>
  <si>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</si>
  <si>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</si>
  <si>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</si>
  <si>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</si>
  <si>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</si>
  <si>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</si>
  <si>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</si>
  <si>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</si>
  <si>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</si>
  <si>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</si>
  <si>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</si>
  <si>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</si>
  <si>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</si>
  <si>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</si>
  <si>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</si>
  <si>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</si>
  <si>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</si>
  <si>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</si>
  <si>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</si>
  <si>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</si>
  <si>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</si>
  <si>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</si>
  <si>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</si>
  <si>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</si>
  <si>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</si>
  <si>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</si>
  <si>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</si>
  <si>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</si>
  <si>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</si>
  <si>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</si>
  <si>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</si>
  <si>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</si>
  <si>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</si>
  <si>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</si>
  <si>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</si>
  <si>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</si>
  <si>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</si>
  <si>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</si>
  <si>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</si>
  <si>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</si>
  <si>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</si>
  <si>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</si>
  <si>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</si>
  <si>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</si>
  <si>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</si>
  <si>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</si>
  <si>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</si>
  <si>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</si>
  <si>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</si>
  <si>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</si>
  <si>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</si>
  <si>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</si>
  <si>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</si>
  <si>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</si>
  <si>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</si>
  <si>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</si>
  <si>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</si>
  <si>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</si>
  <si>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</si>
  <si>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</si>
  <si>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</si>
  <si>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</si>
  <si>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</si>
  <si>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</si>
  <si>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</si>
  <si>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</si>
  <si>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</si>
  <si>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</si>
  <si>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</si>
  <si>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</si>
  <si>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</si>
  <si>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</si>
  <si>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</si>
  <si>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</si>
  <si>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</si>
  <si>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</si>
  <si>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</si>
  <si>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</si>
  <si>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</si>
  <si>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</si>
  <si>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</si>
  <si>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</si>
  <si>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</si>
  <si>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</si>
  <si>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</si>
  <si>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</si>
  <si>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</si>
  <si>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</si>
  <si>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</si>
  <si>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</si>
  <si>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</si>
  <si>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</si>
  <si>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</si>
  <si>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</si>
  <si>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</si>
  <si>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</si>
  <si>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</si>
  <si>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</si>
  <si>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</si>
  <si>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</si>
  <si>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</si>
  <si>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</si>
  <si>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</si>
  <si>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</si>
  <si>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</si>
  <si>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</si>
  <si>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</si>
  <si>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</si>
  <si>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</si>
  <si>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</si>
  <si>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</si>
  <si>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</si>
  <si>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</si>
  <si>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</si>
  <si>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</si>
  <si>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</si>
  <si>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</si>
  <si>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</si>
  <si>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</si>
  <si>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</si>
  <si>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</si>
  <si>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</si>
  <si>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</si>
  <si>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</si>
  <si>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</si>
  <si>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</si>
  <si>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</si>
  <si>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</si>
  <si>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</si>
  <si>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</si>
  <si>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</si>
  <si>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</si>
  <si>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</si>
  <si>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</si>
  <si>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</si>
  <si>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</si>
  <si>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</si>
  <si>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</si>
  <si>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</si>
  <si>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</si>
  <si>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</si>
  <si>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</si>
  <si>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</si>
  <si>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</si>
  <si>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</si>
  <si>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</si>
  <si>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</si>
  <si>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</si>
  <si>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</si>
  <si>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</si>
  <si>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</si>
  <si>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</si>
  <si>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</si>
  <si>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</si>
  <si>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</si>
  <si>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</si>
  <si>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</si>
  <si>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</si>
  <si>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</si>
  <si>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</si>
  <si>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</si>
  <si>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</si>
  <si>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</si>
  <si>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</si>
  <si>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</si>
  <si>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</si>
  <si>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</si>
  <si>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</si>
  <si>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</si>
  <si>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</si>
  <si>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</si>
  <si>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</si>
  <si>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</si>
  <si>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</si>
  <si>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</si>
  <si>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</si>
  <si>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</si>
  <si>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</si>
  <si>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</si>
  <si>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</si>
  <si>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</si>
  <si>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</si>
  <si>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</si>
  <si>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</si>
  <si>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</si>
  <si>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</si>
  <si>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</si>
  <si>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</si>
  <si>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</si>
  <si>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</si>
  <si>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</si>
  <si>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</si>
  <si>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</si>
  <si>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</si>
  <si>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</si>
  <si>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</si>
  <si>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</si>
  <si>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</si>
  <si>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</si>
  <si>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</si>
  <si>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</si>
  <si>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</si>
  <si>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</si>
  <si>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</si>
  <si>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</si>
  <si>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</si>
  <si>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</si>
  <si>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</si>
  <si>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</si>
  <si>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</si>
  <si>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</si>
  <si>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</si>
  <si>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</si>
  <si>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</si>
  <si>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</si>
  <si>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</si>
  <si>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</si>
  <si>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</si>
  <si>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</si>
  <si>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</si>
  <si>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</si>
  <si>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</si>
  <si>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</si>
  <si>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</si>
  <si>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</si>
  <si>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</si>
  <si>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</si>
  <si>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</si>
  <si>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</si>
  <si>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</si>
  <si>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</si>
  <si>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</si>
  <si>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</si>
  <si>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</si>
  <si>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</si>
  <si>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</si>
  <si>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</si>
  <si>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</si>
  <si>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</si>
  <si>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</si>
  <si>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</si>
  <si>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</si>
  <si>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</si>
  <si>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</si>
  <si>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</si>
  <si>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</si>
  <si>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</si>
  <si>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</si>
  <si>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</si>
  <si>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</si>
  <si>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</si>
  <si>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</si>
  <si>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</si>
  <si>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</si>
  <si>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</si>
  <si>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</si>
  <si>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</si>
  <si>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</si>
  <si>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</si>
  <si>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</si>
  <si>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</si>
  <si>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</si>
  <si>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</si>
  <si>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</si>
  <si>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</si>
  <si>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</si>
  <si>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</si>
  <si>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</si>
  <si>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</si>
  <si>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</si>
  <si>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</si>
  <si>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</si>
  <si>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</si>
  <si>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</si>
  <si>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</si>
  <si>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</si>
  <si>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</si>
  <si>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</si>
  <si>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</si>
  <si>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</si>
  <si>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</si>
  <si>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</si>
  <si>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</si>
  <si>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</si>
  <si>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</si>
  <si>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</si>
  <si>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</si>
  <si>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</si>
  <si>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</si>
  <si>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</si>
  <si>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</si>
  <si>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</si>
  <si>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</si>
  <si>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</si>
  <si>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</si>
  <si>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</si>
  <si>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</si>
  <si>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</si>
  <si>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</si>
  <si>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</si>
  <si>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</si>
  <si>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</si>
  <si>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</si>
  <si>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</si>
  <si>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</si>
  <si>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</si>
  <si>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</si>
  <si>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</si>
  <si>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</si>
  <si>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</si>
  <si>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</si>
  <si>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</si>
  <si>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</si>
  <si>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</si>
  <si>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</si>
  <si>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</si>
  <si>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</si>
  <si>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</si>
  <si>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</si>
  <si>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</si>
  <si>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</si>
  <si>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</si>
  <si>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</si>
  <si>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</si>
  <si>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</si>
  <si>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</si>
  <si>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</si>
  <si>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</si>
  <si>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</si>
  <si>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</si>
  <si>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</si>
  <si>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</si>
  <si>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</si>
  <si>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</si>
  <si>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</si>
  <si>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</si>
  <si>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</si>
  <si>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</si>
  <si>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</si>
  <si>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</si>
  <si>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</si>
  <si>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</si>
  <si>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</si>
  <si>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</si>
  <si>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</si>
  <si>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</si>
  <si>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</si>
  <si>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</si>
  <si>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</si>
  <si>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</si>
  <si>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</si>
  <si>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</si>
  <si>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</si>
  <si>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</si>
  <si>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</si>
  <si>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</si>
  <si>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</si>
  <si>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</si>
  <si>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</si>
  <si>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</si>
  <si>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</si>
  <si>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</si>
  <si>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</si>
  <si>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</si>
  <si>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</si>
  <si>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</si>
  <si>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</si>
  <si>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</si>
  <si>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</si>
  <si>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</si>
  <si>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</si>
  <si>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</si>
  <si>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</si>
  <si>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</si>
  <si>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</si>
  <si>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</si>
  <si>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</si>
  <si>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</si>
  <si>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</si>
  <si>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</si>
  <si>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</si>
  <si>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</si>
  <si>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</si>
  <si>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</si>
  <si>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</si>
  <si>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</si>
  <si>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</si>
  <si>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</si>
  <si>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</si>
  <si>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</si>
  <si>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</si>
  <si>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</si>
  <si>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</si>
  <si>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</si>
  <si>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</si>
  <si>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</si>
  <si>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</si>
  <si>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</si>
  <si>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</si>
  <si>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</si>
  <si>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</si>
  <si>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</si>
  <si>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</si>
  <si>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</si>
  <si>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</si>
  <si>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</si>
  <si>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</si>
  <si>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</si>
  <si>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</si>
  <si>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</si>
  <si>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</si>
  <si>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</si>
  <si>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</si>
  <si>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</si>
  <si>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</si>
  <si>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</si>
  <si>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</si>
  <si>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</si>
  <si>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</si>
  <si>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</si>
  <si>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</si>
  <si>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</si>
  <si>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</si>
  <si>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</si>
  <si>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</si>
  <si>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</si>
  <si>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</si>
  <si>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</si>
  <si>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</si>
  <si>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</si>
  <si>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</si>
  <si>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</si>
  <si>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</si>
  <si>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</si>
  <si>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</si>
  <si>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</si>
  <si>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</si>
  <si>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</si>
  <si>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</si>
  <si>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</si>
  <si>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</si>
  <si>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</si>
  <si>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</si>
  <si>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</si>
  <si>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</si>
  <si>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</si>
  <si>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</si>
  <si>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</si>
  <si>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</si>
  <si>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</si>
  <si>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</si>
  <si>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</si>
  <si>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</si>
  <si>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</si>
  <si>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</si>
  <si>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</si>
  <si>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</si>
  <si>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</si>
  <si>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</si>
  <si>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</si>
  <si>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</si>
  <si>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</si>
  <si>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</si>
  <si>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</si>
  <si>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</si>
  <si>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</si>
  <si>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</si>
  <si>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</si>
  <si>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</si>
  <si>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</si>
  <si>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</si>
  <si>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</si>
  <si>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</si>
  <si>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</si>
  <si>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</si>
  <si>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</si>
  <si>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</si>
  <si>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</si>
  <si>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</si>
  <si>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</si>
  <si>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</si>
  <si>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</si>
  <si>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</si>
  <si>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</si>
  <si>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</si>
  <si>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</si>
  <si>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</si>
  <si>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</si>
  <si>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</si>
  <si>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</si>
  <si>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</si>
  <si>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</si>
  <si>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</si>
  <si>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</si>
  <si>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</si>
  <si>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</si>
  <si>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</si>
  <si>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</si>
  <si>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</si>
  <si>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</si>
  <si>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</si>
  <si>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</si>
  <si>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</si>
  <si>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</si>
  <si>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</si>
  <si>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</si>
  <si>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</si>
  <si>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</si>
  <si>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</si>
  <si>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</si>
  <si>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</si>
  <si>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</si>
  <si>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</si>
  <si>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</si>
  <si>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</si>
  <si>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</si>
  <si>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</si>
  <si>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</si>
  <si>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</si>
  <si>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</si>
  <si>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</si>
  <si>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</si>
  <si>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</si>
  <si>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</si>
  <si>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</si>
  <si>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</si>
  <si>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</si>
  <si>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</si>
  <si>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</si>
  <si>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</si>
  <si>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</si>
  <si>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</si>
  <si>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</si>
  <si>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</si>
  <si>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</si>
  <si>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</si>
  <si>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</si>
  <si>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</si>
  <si>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</si>
  <si>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</si>
  <si>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</si>
  <si>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</si>
  <si>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</si>
  <si>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</si>
  <si>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</si>
  <si>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</si>
  <si>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</si>
  <si>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</si>
  <si>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</si>
  <si>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</si>
  <si>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</si>
  <si>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</si>
  <si>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</si>
  <si>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</si>
  <si>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</si>
  <si>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</si>
  <si>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</si>
  <si>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</si>
  <si>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</si>
  <si>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</si>
  <si>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</si>
  <si>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</si>
  <si>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</si>
  <si>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</si>
  <si>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</si>
  <si>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</si>
  <si>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</si>
  <si>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</si>
  <si>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</si>
  <si>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</si>
  <si>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</si>
  <si>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</si>
  <si>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</si>
  <si>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</si>
  <si>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</si>
  <si>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</si>
  <si>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</si>
  <si>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</si>
  <si>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</si>
  <si>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</si>
  <si>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</si>
  <si>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</si>
  <si>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</si>
  <si>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</si>
  <si>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</si>
  <si>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</si>
  <si>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</si>
  <si>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</si>
  <si>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</si>
  <si>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</si>
  <si>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</si>
  <si>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</si>
  <si>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</si>
  <si>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</si>
  <si>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</si>
  <si>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</si>
  <si>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</si>
  <si>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</si>
  <si>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</si>
  <si>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</si>
  <si>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</si>
  <si>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</si>
  <si>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</si>
  <si>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</si>
  <si>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</si>
  <si>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</si>
  <si>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</si>
  <si>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</si>
  <si>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</si>
  <si>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</si>
  <si>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</si>
  <si>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</si>
  <si>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</si>
  <si>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</si>
  <si>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</si>
  <si>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</si>
  <si>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</si>
  <si>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</si>
  <si>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</si>
  <si>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</si>
  <si>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</si>
  <si>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</si>
  <si>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</si>
  <si>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</si>
  <si>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</si>
  <si>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</si>
  <si>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</si>
  <si>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</si>
  <si>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</si>
  <si>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</si>
  <si>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</si>
  <si>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</si>
  <si>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</si>
  <si>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</si>
  <si>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</si>
  <si>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</si>
  <si>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</si>
  <si>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</si>
  <si>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</si>
  <si>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</si>
  <si>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</si>
  <si>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</si>
  <si>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</si>
  <si>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</si>
  <si>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</si>
  <si>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</si>
  <si>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</si>
  <si>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</si>
  <si>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</si>
  <si>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</si>
  <si>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</si>
  <si>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</si>
  <si>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</si>
  <si>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</si>
  <si>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</si>
  <si>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</si>
  <si>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</si>
  <si>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</si>
  <si>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</si>
  <si>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</si>
  <si>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</si>
  <si>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</si>
  <si>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</si>
  <si>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</si>
  <si>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</si>
  <si>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</si>
  <si>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</si>
  <si>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</si>
  <si>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</si>
  <si>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</si>
  <si>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</si>
  <si>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</si>
  <si>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</si>
  <si>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</si>
  <si>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</si>
  <si>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</si>
  <si>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</si>
  <si>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</si>
  <si>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</si>
  <si>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</si>
  <si>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</si>
  <si>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</si>
  <si>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</si>
  <si>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</si>
  <si>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</si>
  <si>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</si>
  <si>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</si>
  <si>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</si>
  <si>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</si>
  <si>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</si>
  <si>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</si>
  <si>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</si>
  <si>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</si>
  <si>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</si>
  <si>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</si>
  <si>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</si>
  <si>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</si>
  <si>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</si>
  <si>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</si>
  <si>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</si>
  <si>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</si>
  <si>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</si>
  <si>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</si>
  <si>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</si>
  <si>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</si>
  <si>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</si>
  <si>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</si>
  <si>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</si>
  <si>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</si>
  <si>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</si>
  <si>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</si>
  <si>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</si>
  <si>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</si>
  <si>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</si>
  <si>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</si>
  <si>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</si>
  <si>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</si>
  <si>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</si>
  <si>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</si>
  <si>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</si>
  <si>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</si>
  <si>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</si>
  <si>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</si>
  <si>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</si>
  <si>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</si>
  <si>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</si>
  <si>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</si>
  <si>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</si>
  <si>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</si>
  <si>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</si>
  <si>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</si>
  <si>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</si>
  <si>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</si>
  <si>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</si>
  <si>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</si>
  <si>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</si>
  <si>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</si>
  <si>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</si>
  <si>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</si>
  <si>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</si>
  <si>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</si>
  <si>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</si>
  <si>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</si>
  <si>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</si>
  <si>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</si>
  <si>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</si>
  <si>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</si>
  <si>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</si>
  <si>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</si>
  <si>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</si>
  <si>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</si>
  <si>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</si>
  <si>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</si>
  <si>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</si>
  <si>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</si>
  <si>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</si>
  <si>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</si>
  <si>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</si>
  <si>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</si>
  <si>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</si>
  <si>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</si>
  <si>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</si>
  <si>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</si>
  <si>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</si>
  <si>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</si>
  <si>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</si>
  <si>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</si>
  <si>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</si>
  <si>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</si>
  <si>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</si>
  <si>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</si>
  <si>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</si>
  <si>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</si>
  <si>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</si>
  <si>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</si>
  <si>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</si>
  <si>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</si>
  <si>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</si>
  <si>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</si>
  <si>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</si>
  <si>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</si>
  <si>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</si>
  <si>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</si>
  <si>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</si>
  <si>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</si>
  <si>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</si>
  <si>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</si>
  <si>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</si>
  <si>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</si>
  <si>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</si>
  <si>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</si>
  <si>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</si>
  <si>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</si>
  <si>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</si>
  <si>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</si>
  <si>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</si>
  <si>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</si>
  <si>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</si>
  <si>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</si>
  <si>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</si>
  <si>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</si>
  <si>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</si>
  <si>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</si>
  <si>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</si>
  <si>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</si>
  <si>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</si>
  <si>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</si>
  <si>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</si>
  <si>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</si>
  <si>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</si>
  <si>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</si>
  <si>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</si>
  <si>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</si>
  <si>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</si>
  <si>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</si>
  <si>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</si>
  <si>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</si>
  <si>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</si>
  <si>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</si>
  <si>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</si>
  <si>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</si>
  <si>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</si>
  <si>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</si>
  <si>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</si>
  <si>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</si>
  <si>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</si>
  <si>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</si>
  <si>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</si>
  <si>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</si>
  <si>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</si>
  <si>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</si>
  <si>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</si>
  <si>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</si>
  <si>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</si>
  <si>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</si>
  <si>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</si>
  <si>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</si>
  <si>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</si>
  <si>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</si>
  <si>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</si>
  <si>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</si>
  <si>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</si>
  <si>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</si>
  <si>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</si>
  <si>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</si>
  <si>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</si>
  <si>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</si>
  <si>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</si>
  <si>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</si>
  <si>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</si>
  <si>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</si>
  <si>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</si>
  <si>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</si>
  <si>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</si>
  <si>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</si>
  <si>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</si>
  <si>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</si>
  <si>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</si>
  <si>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</si>
  <si>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</si>
  <si>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</si>
  <si>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</si>
  <si>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</si>
  <si>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</si>
  <si>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</si>
  <si>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</si>
  <si>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</si>
  <si>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</si>
  <si>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</si>
  <si>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</si>
  <si>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</si>
  <si>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</si>
  <si>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</si>
  <si>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</si>
  <si>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</si>
  <si>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</si>
  <si>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</si>
  <si>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</si>
  <si>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</si>
  <si>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</si>
  <si>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</si>
  <si>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</si>
  <si>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</si>
  <si>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</si>
  <si>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</si>
  <si>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</si>
  <si>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</si>
  <si>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</si>
  <si>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</si>
  <si>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</si>
  <si>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</si>
  <si>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</si>
  <si>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</si>
  <si>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</si>
  <si>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</si>
  <si>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</si>
  <si>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</si>
  <si>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</si>
  <si>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</si>
  <si>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</si>
  <si>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</si>
  <si>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</si>
  <si>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</si>
  <si>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</si>
  <si>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</si>
  <si>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</si>
  <si>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</si>
  <si>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</si>
  <si>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</si>
  <si>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</si>
  <si>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</si>
  <si>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</si>
  <si>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</si>
  <si>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</si>
  <si>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</si>
  <si>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</si>
  <si>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</si>
  <si>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</si>
  <si>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</si>
  <si>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</si>
  <si>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</si>
  <si>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</si>
  <si>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</si>
  <si>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</si>
  <si>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</si>
  <si>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</si>
  <si>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</si>
  <si>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</si>
  <si>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</si>
  <si>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</si>
  <si>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</si>
  <si>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</si>
  <si>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</si>
  <si>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</si>
  <si>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</si>
  <si>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</si>
  <si>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</si>
  <si>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</si>
  <si>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</si>
  <si>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</si>
  <si>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</si>
  <si>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</si>
  <si>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</si>
  <si>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</si>
  <si>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</si>
  <si>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</si>
  <si>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</si>
  <si>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</si>
  <si>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</si>
  <si>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</si>
  <si>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</si>
  <si>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</si>
  <si>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</si>
  <si>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</si>
  <si>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</si>
  <si>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</si>
  <si>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</si>
  <si>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</si>
  <si>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</si>
  <si>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</si>
  <si>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</si>
  <si>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</si>
  <si>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</si>
  <si>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</si>
  <si>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</si>
  <si>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</si>
  <si>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</si>
  <si>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</si>
  <si>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</si>
  <si>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</si>
  <si>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</si>
  <si>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</si>
  <si>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</si>
  <si>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</si>
  <si>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</si>
  <si>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</si>
  <si>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</si>
  <si>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</si>
  <si>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</si>
  <si>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</si>
  <si>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</si>
  <si>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</si>
  <si>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</si>
  <si>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</si>
  <si>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</si>
  <si>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</si>
  <si>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</si>
  <si>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</si>
  <si>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</si>
  <si>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</si>
  <si>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</si>
  <si>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</si>
  <si>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</si>
  <si>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</si>
  <si>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</si>
  <si>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</si>
  <si>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</si>
  <si>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</si>
  <si>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</si>
  <si>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</si>
  <si>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</si>
  <si>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</si>
  <si>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</si>
  <si>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</si>
  <si>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</si>
  <si>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</si>
  <si>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</si>
  <si>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</si>
  <si>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</si>
  <si>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</si>
  <si>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</si>
  <si>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</si>
  <si>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</si>
  <si>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</si>
  <si>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</si>
  <si>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</si>
  <si>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</si>
  <si>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</si>
  <si>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</si>
  <si>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</si>
  <si>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</si>
  <si>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</si>
  <si>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</si>
  <si>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</si>
  <si>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</si>
  <si>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</si>
  <si>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</si>
  <si>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</si>
  <si>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</si>
  <si>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</si>
  <si>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</si>
  <si>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</si>
  <si>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</si>
  <si>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</si>
  <si>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</si>
  <si>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</si>
  <si>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</si>
  <si>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</si>
  <si>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</si>
  <si>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</si>
  <si>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</si>
  <si>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</si>
  <si>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</si>
  <si>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</si>
  <si>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</si>
  <si>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</si>
  <si>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</si>
  <si>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</si>
  <si>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</si>
  <si>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</si>
  <si>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</si>
  <si>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</si>
  <si>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</si>
  <si>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</si>
  <si>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</si>
  <si>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</si>
  <si>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</si>
  <si>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</si>
  <si>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</si>
  <si>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</si>
  <si>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</si>
  <si>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</si>
  <si>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</si>
  <si>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</si>
  <si>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</si>
  <si>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</si>
  <si>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</si>
  <si>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</si>
  <si>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</si>
  <si>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</si>
  <si>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</si>
  <si>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</si>
  <si>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</si>
  <si>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</si>
  <si>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</si>
  <si>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</si>
  <si>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</si>
  <si>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</si>
  <si>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</si>
  <si>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</si>
  <si>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</si>
  <si>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</si>
  <si>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</si>
  <si>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</si>
  <si>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</si>
  <si>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</si>
  <si>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</si>
  <si>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</si>
  <si>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</si>
  <si>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</si>
  <si>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</si>
  <si>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</si>
  <si>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</si>
  <si>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</si>
  <si>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</si>
  <si>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</si>
  <si>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</si>
  <si>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</si>
  <si>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</si>
  <si>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</si>
  <si>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</si>
  <si>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</si>
  <si>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</si>
  <si>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</si>
  <si>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</si>
  <si>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</si>
  <si>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</si>
  <si>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</si>
  <si>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</si>
  <si>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</si>
  <si>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</si>
  <si>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</si>
  <si>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</si>
  <si>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</si>
  <si>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</si>
  <si>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</si>
  <si>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</si>
  <si>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</si>
  <si>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</si>
  <si>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</si>
  <si>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</si>
  <si>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</si>
  <si>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</si>
  <si>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</si>
  <si>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</si>
  <si>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</si>
  <si>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</si>
  <si>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</si>
  <si>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</si>
  <si>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</si>
  <si>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</si>
  <si>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</si>
  <si>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</si>
  <si>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</si>
  <si>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</si>
  <si>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</si>
  <si>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</si>
  <si>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</si>
  <si>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</si>
  <si>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</si>
  <si>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</si>
  <si>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</si>
  <si>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</si>
  <si>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</si>
  <si>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</si>
  <si>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</si>
  <si>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</si>
  <si>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</si>
  <si>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</si>
  <si>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</si>
  <si>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</si>
  <si>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</si>
  <si>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</si>
  <si>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</si>
  <si>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</si>
  <si>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</si>
  <si>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</si>
  <si>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</si>
  <si>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</si>
  <si>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</si>
  <si>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</si>
  <si>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</si>
  <si>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</si>
  <si>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</si>
  <si>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</si>
  <si>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</si>
  <si>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</si>
  <si>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</si>
  <si>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</si>
  <si>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</si>
  <si>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</si>
  <si>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</si>
  <si>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</si>
  <si>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</si>
  <si>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</si>
  <si>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</si>
  <si>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</si>
  <si>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</si>
  <si>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</si>
  <si>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</si>
  <si>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</si>
  <si>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</si>
  <si>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</si>
  <si>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</si>
  <si>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</si>
  <si>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</si>
  <si>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</si>
  <si>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</si>
  <si>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</si>
  <si>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</si>
  <si>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</si>
  <si>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</si>
  <si>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</si>
  <si>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</si>
  <si>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</si>
  <si>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</si>
  <si>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</si>
  <si>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</si>
  <si>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</si>
  <si>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</si>
  <si>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</si>
  <si>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</si>
  <si>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</si>
  <si>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</si>
  <si>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</si>
  <si>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</si>
  <si>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</si>
  <si>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</si>
  <si>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</si>
  <si>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</si>
  <si>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</si>
  <si>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</si>
  <si>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</si>
  <si>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</si>
  <si>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</si>
  <si>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</si>
  <si>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</si>
  <si>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</si>
  <si>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</si>
  <si>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</si>
  <si>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</si>
  <si>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</si>
  <si>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</si>
  <si>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</si>
  <si>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</si>
  <si>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</si>
  <si>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</si>
  <si>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</si>
  <si>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</si>
  <si>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</si>
  <si>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</si>
  <si>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</si>
  <si>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</si>
  <si>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</si>
  <si>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</si>
  <si>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</si>
  <si>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</si>
  <si>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</si>
  <si>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</si>
  <si>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</si>
  <si>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</si>
  <si>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</si>
  <si>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</si>
  <si>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</si>
  <si>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</si>
  <si>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</si>
  <si>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</si>
  <si>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</si>
  <si>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</si>
  <si>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</si>
  <si>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</si>
  <si>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</si>
  <si>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</si>
  <si>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</si>
  <si>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</si>
  <si>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</si>
  <si>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</si>
  <si>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</si>
  <si>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</si>
  <si>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</si>
  <si>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</si>
  <si>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</si>
  <si>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</si>
  <si>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</si>
  <si>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</si>
  <si>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</si>
  <si>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</si>
  <si>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</si>
  <si>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</si>
  <si>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</si>
  <si>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</si>
  <si>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</si>
  <si>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</si>
  <si>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</si>
  <si>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</si>
  <si>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</si>
  <si>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</si>
  <si>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</si>
  <si>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</si>
  <si>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</si>
  <si>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</si>
  <si>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</si>
  <si>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</si>
  <si>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</si>
  <si>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</si>
  <si>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</si>
  <si>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</si>
  <si>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</si>
  <si>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</si>
  <si>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</si>
  <si>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</si>
  <si>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</si>
  <si>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</si>
  <si>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</si>
  <si>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</si>
  <si>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</si>
  <si>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</si>
  <si>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</si>
  <si>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</si>
  <si>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</si>
  <si>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</si>
  <si>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</si>
  <si>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</si>
  <si>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</si>
  <si>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</si>
  <si>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</si>
  <si>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</si>
  <si>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</si>
  <si>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</si>
  <si>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</si>
  <si>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</si>
  <si>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</si>
  <si>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</si>
  <si>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</si>
  <si>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</si>
  <si>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</si>
  <si>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</si>
  <si>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</si>
  <si>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</si>
  <si>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</si>
  <si>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</si>
  <si>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</si>
  <si>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</si>
  <si>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</si>
  <si>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</si>
  <si>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</si>
  <si>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</si>
  <si>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</si>
  <si>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</si>
  <si>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</si>
  <si>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</si>
  <si>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</si>
  <si>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</si>
  <si>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</si>
  <si>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</si>
  <si>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</si>
  <si>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</si>
  <si>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</si>
  <si>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</si>
  <si>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</si>
  <si>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</si>
  <si>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</si>
  <si>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</si>
  <si>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</si>
  <si>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</si>
  <si>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</si>
  <si>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</si>
  <si>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</si>
  <si>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</si>
  <si>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</si>
  <si>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</si>
  <si>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</si>
  <si>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</si>
  <si>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</si>
  <si>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</si>
  <si>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</si>
  <si>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</si>
  <si>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</si>
  <si>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</si>
  <si>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</si>
  <si>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</si>
  <si>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</si>
  <si>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</si>
  <si>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</si>
  <si>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</si>
  <si>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</si>
  <si>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</si>
  <si>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</si>
  <si>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</si>
  <si>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</si>
  <si>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</si>
  <si>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</si>
  <si>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</si>
  <si>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</si>
  <si>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</si>
  <si>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</si>
  <si>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</si>
  <si>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</si>
  <si>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</si>
  <si>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</si>
  <si>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</si>
  <si>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</si>
  <si>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</si>
  <si>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</si>
  <si>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</si>
  <si>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</si>
  <si>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</si>
  <si>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</si>
  <si>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</si>
  <si>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</si>
  <si>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</si>
  <si>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</si>
  <si>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</si>
  <si>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</si>
  <si>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</si>
  <si>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</si>
  <si>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</si>
  <si>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</si>
  <si>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</si>
  <si>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</si>
  <si>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</si>
  <si>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</si>
  <si>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</si>
  <si>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</si>
  <si>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</si>
  <si>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</si>
  <si>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</si>
  <si>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</si>
  <si>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</si>
  <si>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</si>
  <si>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</si>
  <si>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</si>
  <si>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</si>
  <si>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</si>
  <si>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</si>
  <si>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</si>
  <si>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</si>
  <si>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</si>
  <si>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</si>
  <si>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</si>
  <si>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</si>
  <si>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</si>
  <si>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</si>
  <si>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</si>
  <si>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</si>
  <si>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</si>
  <si>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</si>
  <si>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</si>
  <si>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</si>
  <si>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</si>
  <si>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</si>
  <si>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</si>
  <si>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</si>
  <si>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</si>
  <si>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</si>
  <si>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</si>
  <si>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</si>
  <si>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</si>
  <si>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</si>
  <si>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</si>
  <si>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</si>
  <si>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</si>
  <si>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</si>
  <si>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</si>
  <si>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</si>
  <si>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</si>
  <si>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</si>
  <si>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</si>
  <si>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</si>
  <si>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</si>
  <si>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</si>
  <si>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</si>
  <si>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</si>
  <si>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</si>
  <si>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</si>
  <si>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</si>
  <si>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</si>
  <si>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</si>
  <si>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</si>
  <si>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</si>
  <si>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</si>
  <si>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</si>
  <si>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</si>
  <si>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</si>
  <si>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</si>
  <si>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</si>
  <si>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</si>
  <si>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</si>
  <si>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</si>
  <si>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</si>
  <si>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</si>
  <si>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</si>
  <si>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</si>
  <si>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</si>
  <si>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</si>
  <si>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</si>
  <si>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</si>
  <si>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</si>
  <si>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</si>
  <si>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</si>
  <si>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</si>
  <si>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</si>
  <si>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</si>
  <si>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</si>
  <si>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</si>
  <si>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</si>
  <si>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</si>
  <si>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</si>
  <si>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</si>
  <si>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</si>
  <si>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</si>
  <si>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</si>
  <si>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</si>
  <si>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</si>
  <si>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</si>
  <si>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</si>
  <si>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</si>
  <si>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</si>
  <si>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</si>
  <si>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</si>
  <si>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</si>
  <si>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</si>
  <si>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</si>
  <si>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</si>
  <si>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</si>
  <si>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</si>
  <si>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</si>
  <si>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</si>
  <si>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</si>
  <si>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</si>
  <si>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</si>
  <si>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</si>
  <si>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</si>
  <si>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</si>
  <si>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</si>
  <si>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</si>
  <si>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</si>
  <si>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</si>
  <si>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</si>
  <si>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</si>
  <si>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</si>
  <si>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</si>
  <si>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</si>
  <si>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</si>
  <si>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</si>
  <si>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</si>
  <si>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</si>
  <si>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</si>
  <si>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</si>
  <si>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</si>
  <si>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</si>
  <si>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</si>
  <si>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</si>
  <si>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</si>
  <si>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</si>
  <si>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</si>
  <si>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</si>
  <si>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</si>
  <si>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</si>
  <si>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</si>
  <si>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</si>
  <si>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</si>
  <si>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</si>
  <si>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</si>
  <si>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</si>
  <si>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</si>
  <si>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</si>
  <si>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</si>
  <si>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</si>
  <si>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</si>
  <si>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</si>
  <si>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</si>
  <si>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</si>
  <si>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</si>
  <si>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</si>
  <si>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</si>
  <si>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</si>
  <si>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</si>
  <si>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</si>
  <si>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</si>
  <si>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</si>
  <si>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</si>
  <si>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</si>
  <si>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</si>
  <si>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</si>
  <si>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</si>
  <si>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</si>
  <si>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</si>
  <si>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</si>
  <si>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</si>
  <si>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</si>
  <si>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</si>
  <si>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</si>
  <si>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</si>
  <si>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</si>
  <si>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</si>
  <si>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</si>
  <si>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</si>
  <si>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</si>
  <si>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</si>
  <si>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</si>
  <si>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</si>
  <si>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</si>
  <si>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</si>
  <si>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</si>
  <si>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</si>
  <si>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</si>
  <si>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</si>
  <si>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</si>
  <si>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</si>
  <si>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</si>
  <si>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</si>
  <si>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</si>
  <si>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</si>
  <si>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</si>
  <si>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</si>
  <si>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</si>
  <si>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</si>
  <si>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</si>
  <si>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</si>
  <si>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</si>
  <si>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</si>
  <si>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</si>
  <si>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</si>
  <si>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</si>
  <si>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</si>
  <si>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</si>
  <si>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</si>
  <si>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</si>
  <si>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</si>
  <si>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</si>
  <si>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</si>
  <si>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</si>
  <si>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</si>
  <si>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</si>
  <si>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</si>
  <si>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</si>
  <si>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</si>
  <si>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</si>
  <si>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</si>
  <si>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</si>
  <si>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</si>
  <si>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</si>
  <si>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</si>
  <si>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</si>
  <si>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</si>
  <si>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</si>
  <si>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</si>
  <si>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</si>
  <si>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</si>
  <si>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</si>
  <si>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</si>
  <si>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</si>
  <si>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</si>
  <si>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</si>
  <si>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</si>
  <si>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</si>
  <si>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</si>
  <si>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</si>
  <si>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</si>
  <si>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</si>
  <si>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</si>
  <si>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</si>
  <si>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</si>
  <si>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</si>
  <si>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</si>
  <si>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</si>
  <si>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</si>
  <si>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</si>
  <si>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</si>
  <si>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</si>
  <si>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</si>
  <si>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</si>
  <si>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</si>
  <si>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</si>
  <si>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</si>
  <si>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</si>
  <si>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</si>
  <si>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</si>
  <si>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</si>
  <si>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</si>
  <si>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</si>
  <si>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</si>
  <si>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</si>
  <si>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</si>
  <si>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</si>
  <si>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</si>
  <si>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</si>
  <si>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</si>
  <si>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</si>
  <si>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</si>
  <si>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</si>
  <si>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</si>
  <si>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</si>
  <si>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</si>
  <si>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</si>
  <si>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</si>
  <si>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</si>
  <si>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</si>
  <si>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</si>
  <si>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</si>
  <si>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</si>
  <si>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</si>
  <si>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</si>
  <si>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</si>
  <si>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</si>
  <si>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</si>
  <si>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</si>
  <si>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</si>
  <si>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</si>
  <si>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</si>
  <si>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</si>
  <si>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</si>
  <si>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</si>
  <si>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</si>
  <si>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</si>
  <si>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</si>
  <si>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</si>
  <si>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</si>
  <si>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</si>
  <si>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</si>
  <si>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</si>
  <si>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</si>
  <si>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</si>
  <si>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</si>
  <si>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</si>
  <si>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</si>
  <si>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</si>
  <si>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</si>
  <si>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</si>
  <si>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</si>
  <si>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</si>
  <si>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</si>
  <si>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</si>
  <si>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</si>
  <si>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</si>
  <si>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</si>
  <si>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</si>
  <si>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</si>
  <si>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</si>
  <si>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</si>
  <si>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</si>
  <si>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</si>
  <si>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</si>
  <si>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</si>
  <si>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</si>
  <si>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</si>
  <si>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</si>
  <si>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</si>
  <si>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</si>
  <si>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</si>
  <si>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</si>
  <si>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</si>
  <si>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</si>
  <si>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</si>
  <si>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</si>
  <si>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</si>
  <si>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</si>
  <si>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</si>
  <si>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</si>
  <si>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</si>
  <si>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</si>
  <si>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</si>
  <si>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</si>
  <si>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</si>
  <si>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</si>
  <si>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</si>
  <si>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</si>
  <si>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</si>
  <si>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</si>
  <si>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</si>
  <si>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</si>
  <si>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</si>
  <si>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</si>
  <si>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</si>
  <si>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</si>
  <si>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</si>
  <si>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</si>
  <si>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</si>
  <si>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</si>
  <si>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</si>
  <si>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</si>
  <si>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</si>
  <si>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</si>
  <si>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</si>
  <si>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</si>
  <si>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</si>
  <si>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</si>
  <si>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</si>
  <si>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</si>
  <si>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</si>
  <si>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</si>
  <si>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</si>
  <si>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</si>
  <si>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</si>
  <si>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</si>
  <si>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</si>
  <si>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</si>
  <si>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</si>
  <si>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</si>
  <si>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</si>
  <si>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</si>
  <si>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</si>
  <si>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</si>
  <si>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</si>
  <si>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</si>
  <si>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</si>
  <si>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</si>
  <si>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</si>
  <si>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</si>
  <si>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</si>
  <si>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</si>
  <si>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</si>
  <si>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</si>
  <si>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</si>
  <si>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</si>
  <si>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</si>
  <si>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</si>
  <si>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</si>
  <si>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</si>
  <si>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</si>
  <si>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</si>
  <si>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</si>
  <si>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</si>
  <si>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</si>
  <si>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</si>
  <si>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</si>
  <si>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</si>
  <si>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</si>
  <si>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</si>
  <si>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</si>
  <si>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</si>
  <si>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</si>
  <si>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</si>
  <si>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</si>
  <si>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</si>
  <si>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</si>
  <si>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</si>
  <si>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</si>
  <si>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</si>
  <si>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</si>
  <si>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</si>
  <si>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</si>
  <si>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</si>
  <si>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</si>
  <si>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</si>
  <si>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</si>
  <si>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</si>
  <si>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</si>
  <si>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</si>
  <si>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</si>
  <si>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</si>
  <si>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</si>
  <si>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</si>
  <si>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</si>
  <si>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</si>
  <si>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</si>
  <si>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</si>
  <si>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</si>
  <si>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</si>
  <si>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</si>
  <si>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</si>
  <si>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</si>
  <si>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</si>
  <si>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</si>
  <si>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</si>
  <si>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</si>
  <si>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</si>
  <si>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</si>
  <si>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</si>
  <si>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</si>
  <si>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</si>
  <si>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</si>
  <si>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</si>
  <si>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</si>
  <si>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</si>
  <si>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</si>
  <si>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</si>
  <si>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</si>
  <si>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</si>
  <si>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</si>
  <si>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</si>
  <si>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</si>
  <si>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</si>
  <si>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</si>
  <si>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</si>
  <si>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</si>
  <si>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</si>
  <si>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</si>
  <si>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</si>
  <si>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</si>
  <si>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</si>
  <si>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</si>
  <si>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</si>
  <si>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</si>
  <si>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</si>
  <si>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</si>
  <si>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</si>
  <si>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</si>
  <si>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</si>
  <si>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</si>
  <si>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</si>
  <si>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</si>
  <si>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</si>
  <si>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</si>
  <si>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</si>
  <si>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</si>
  <si>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</si>
  <si>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</si>
  <si>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</si>
  <si>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</si>
  <si>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</si>
  <si>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</si>
  <si>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</si>
  <si>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</si>
  <si>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</si>
  <si>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</si>
  <si>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</si>
  <si>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</si>
  <si>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</si>
  <si>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</si>
  <si>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</si>
  <si>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</si>
  <si>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</si>
  <si>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</si>
  <si>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</si>
  <si>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</si>
  <si>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</si>
  <si>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</si>
  <si>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</si>
  <si>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</si>
  <si>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</si>
  <si>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</si>
  <si>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</si>
  <si>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</si>
  <si>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</si>
  <si>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</si>
  <si>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</si>
  <si>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</si>
  <si>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</si>
  <si>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</si>
  <si>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</si>
  <si>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</si>
  <si>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</si>
  <si>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</si>
  <si>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</si>
  <si>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</si>
  <si>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</si>
  <si>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</si>
  <si>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</si>
  <si>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</si>
  <si>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</si>
  <si>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</si>
  <si>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</si>
  <si>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</si>
  <si>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</si>
  <si>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</si>
  <si>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</si>
  <si>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</si>
  <si>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</si>
  <si>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</si>
  <si>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</si>
  <si>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</si>
  <si>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</si>
  <si>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</si>
  <si>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</si>
  <si>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</si>
  <si>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</si>
  <si>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</si>
  <si>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</si>
  <si>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</si>
  <si>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</si>
  <si>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</si>
  <si>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</si>
  <si>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</si>
  <si>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</si>
  <si>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</si>
  <si>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</si>
  <si>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</si>
  <si>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</si>
  <si>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</si>
  <si>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</si>
  <si>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</si>
  <si>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</si>
  <si>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</si>
  <si>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</si>
  <si>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</si>
  <si>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</si>
  <si>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</si>
  <si>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</si>
  <si>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</si>
  <si>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</si>
  <si>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</si>
  <si>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</si>
  <si>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</si>
  <si>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</si>
  <si>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</si>
  <si>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</si>
  <si>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</si>
  <si>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</si>
  <si>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</si>
  <si>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</si>
  <si>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</si>
  <si>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</si>
  <si>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</si>
  <si>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</si>
  <si>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</si>
  <si>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</si>
  <si>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</si>
  <si>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</si>
  <si>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</si>
  <si>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</si>
  <si>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</si>
  <si>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</si>
  <si>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</si>
  <si>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</si>
  <si>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</si>
  <si>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</si>
  <si>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</si>
  <si>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</si>
  <si>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</si>
  <si>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</si>
  <si>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</si>
  <si>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</si>
  <si>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</si>
  <si>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</si>
  <si>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</si>
  <si>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</si>
  <si>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</si>
  <si>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</si>
  <si>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</si>
  <si>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</si>
  <si>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</si>
  <si>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</si>
  <si>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</si>
  <si>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</si>
  <si>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</si>
  <si>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</si>
  <si>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</si>
  <si>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</si>
  <si>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</si>
  <si>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</si>
  <si>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</si>
  <si>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</si>
  <si>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</si>
  <si>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</si>
  <si>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</si>
  <si>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</si>
  <si>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</si>
  <si>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</si>
  <si>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</si>
  <si>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</si>
  <si>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</si>
  <si>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</si>
  <si>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</si>
  <si>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</si>
  <si>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</si>
  <si>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</si>
  <si>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</si>
  <si>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</si>
  <si>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</si>
  <si>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</si>
  <si>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</si>
  <si>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</si>
  <si>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</si>
  <si>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</si>
  <si>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</si>
  <si>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</si>
  <si>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</si>
  <si>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</si>
  <si>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</si>
  <si>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</si>
  <si>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</si>
  <si>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</si>
  <si>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</si>
  <si>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</si>
  <si>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</si>
  <si>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</si>
  <si>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</si>
  <si>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</si>
  <si>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</si>
  <si>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</si>
  <si>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</si>
  <si>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</si>
  <si>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</si>
  <si>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</si>
  <si>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</si>
  <si>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</si>
  <si>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</si>
  <si>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</si>
  <si>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</si>
  <si>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</si>
  <si>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</si>
  <si>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</si>
  <si>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</si>
  <si>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</si>
  <si>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</si>
  <si>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</si>
  <si>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</si>
  <si>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</si>
  <si>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</si>
  <si>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</si>
  <si>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</si>
  <si>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</si>
  <si>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</si>
  <si>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</si>
  <si>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</si>
  <si>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</si>
  <si>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</si>
  <si>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</si>
  <si>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</si>
  <si>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</si>
  <si>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</si>
  <si>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</si>
  <si>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</si>
  <si>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</si>
  <si>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</si>
  <si>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</si>
  <si>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</si>
  <si>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</si>
  <si>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</si>
  <si>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</si>
  <si>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</si>
  <si>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</si>
  <si>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</si>
  <si>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</si>
  <si>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</si>
  <si>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</si>
  <si>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</si>
  <si>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</si>
  <si>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</si>
  <si>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</si>
  <si>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</si>
  <si>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</si>
  <si>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</si>
  <si>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</si>
  <si>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</si>
  <si>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</si>
  <si>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</si>
  <si>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</si>
  <si>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</si>
  <si>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</si>
  <si>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</si>
  <si>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</si>
  <si>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</si>
  <si>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</si>
  <si>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</si>
  <si>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</si>
  <si>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</si>
  <si>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</si>
  <si>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</si>
  <si>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</si>
  <si>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</si>
  <si>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</si>
  <si>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</si>
  <si>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</si>
  <si>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</si>
  <si>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</si>
  <si>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</si>
  <si>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</si>
  <si>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</si>
  <si>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</si>
  <si>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</si>
  <si>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</si>
  <si>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</si>
  <si>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</si>
  <si>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</si>
  <si>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</si>
  <si>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</si>
  <si>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</si>
  <si>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</si>
  <si>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</si>
  <si>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</si>
  <si>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</si>
  <si>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</si>
  <si>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</si>
  <si>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</si>
  <si>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</si>
  <si>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</si>
  <si>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</si>
  <si>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</si>
  <si>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</si>
  <si>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</si>
  <si>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</si>
  <si>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</si>
  <si>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</si>
  <si>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</si>
  <si>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</si>
  <si>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</si>
  <si>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</si>
  <si>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</si>
  <si>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</si>
  <si>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</si>
  <si>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</si>
  <si>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</si>
  <si>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</si>
  <si>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</si>
  <si>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</si>
  <si>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</si>
  <si>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</si>
  <si>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</si>
  <si>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</si>
  <si>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</si>
  <si>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</si>
  <si>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</si>
  <si>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</si>
  <si>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</si>
  <si>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</si>
  <si>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</si>
  <si>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</si>
  <si>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</si>
  <si>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</si>
  <si>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</si>
  <si>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</si>
  <si>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</si>
  <si>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</si>
  <si>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</si>
  <si>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</si>
  <si>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</si>
  <si>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</si>
  <si>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</si>
  <si>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</si>
  <si>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</si>
  <si>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</si>
  <si>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</si>
  <si>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</si>
  <si>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</si>
  <si>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</si>
  <si>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</si>
  <si>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</si>
  <si>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</si>
  <si>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</si>
  <si>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</si>
  <si>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</si>
  <si>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</si>
  <si>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</si>
  <si>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</si>
  <si>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</si>
  <si>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</si>
  <si>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</si>
  <si>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</si>
  <si>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</si>
  <si>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</si>
  <si>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</si>
  <si>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</si>
  <si>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</si>
  <si>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</si>
  <si>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</si>
  <si>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</si>
  <si>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</si>
  <si>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</si>
  <si>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</si>
  <si>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</si>
  <si>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</si>
  <si>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</si>
  <si>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</si>
  <si>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</si>
  <si>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</si>
  <si>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</si>
  <si>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</si>
  <si>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</si>
  <si>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</si>
  <si>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</si>
  <si>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</si>
  <si>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</si>
  <si>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</si>
  <si>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</si>
  <si>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</si>
  <si>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</si>
  <si>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</si>
  <si>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</si>
  <si>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</si>
  <si>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</si>
  <si>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</si>
  <si>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</si>
  <si>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</si>
  <si>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</si>
  <si>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</si>
  <si>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</si>
  <si>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</si>
  <si>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</si>
  <si>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</si>
  <si>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</si>
  <si>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</si>
  <si>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</si>
  <si>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</si>
  <si>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</si>
  <si>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</si>
  <si>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</si>
  <si>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</si>
  <si>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</si>
  <si>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</si>
  <si>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</si>
  <si>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</si>
  <si>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</si>
  <si>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</si>
  <si>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</si>
  <si>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</si>
  <si>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</si>
  <si>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</si>
  <si>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</si>
  <si>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</si>
  <si>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</si>
  <si>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</si>
  <si>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</si>
  <si>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</si>
  <si>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</si>
  <si>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</si>
  <si>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</si>
  <si>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</si>
  <si>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</si>
  <si>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</si>
  <si>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</si>
  <si>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</si>
  <si>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</si>
  <si>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</si>
  <si>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</si>
  <si>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</si>
  <si>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</si>
  <si>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</si>
  <si>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</si>
  <si>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</si>
  <si>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</si>
  <si>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</si>
  <si>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</si>
  <si>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</si>
  <si>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</si>
  <si>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</si>
  <si>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</si>
  <si>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</si>
  <si>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</si>
  <si>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</si>
  <si>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</si>
  <si>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</si>
  <si>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</si>
  <si>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</si>
  <si>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</si>
  <si>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</si>
  <si>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</si>
  <si>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</si>
  <si>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</si>
  <si>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</si>
  <si>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</si>
  <si>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</si>
  <si>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</si>
  <si>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</si>
  <si>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</si>
  <si>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</si>
  <si>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</si>
  <si>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</si>
  <si>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</si>
  <si>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</si>
  <si>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</si>
  <si>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</si>
  <si>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</si>
  <si>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</si>
  <si>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</si>
  <si>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</si>
  <si>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</si>
  <si>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</si>
  <si>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</si>
  <si>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</si>
  <si>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</si>
  <si>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</si>
  <si>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</si>
  <si>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</si>
  <si>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</si>
  <si>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</si>
  <si>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</si>
  <si>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</si>
  <si>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</si>
  <si>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</si>
  <si>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</si>
  <si>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</si>
  <si>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</si>
  <si>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</si>
  <si>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</si>
  <si>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</si>
  <si>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</si>
  <si>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</si>
  <si>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</si>
  <si>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</si>
  <si>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</si>
  <si>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</si>
  <si>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</si>
  <si>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</si>
  <si>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</si>
  <si>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</si>
  <si>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</si>
  <si>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</si>
  <si>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</si>
  <si>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</si>
  <si>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</si>
  <si>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</si>
  <si>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</si>
  <si>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</si>
  <si>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</si>
  <si>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</si>
  <si>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</si>
  <si>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</si>
  <si>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</si>
  <si>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</si>
  <si>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</si>
  <si>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</si>
  <si>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</si>
  <si>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</si>
  <si>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</si>
  <si>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</si>
  <si>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</si>
  <si>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</si>
  <si>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</si>
  <si>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</si>
  <si>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</si>
  <si>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</si>
  <si>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</si>
  <si>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</si>
  <si>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</si>
  <si>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</si>
  <si>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</si>
  <si>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</si>
  <si>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</si>
  <si>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</si>
  <si>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</si>
  <si>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</si>
  <si>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</si>
  <si>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</si>
  <si>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</si>
  <si>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</si>
  <si>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</si>
  <si>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</si>
  <si>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</si>
  <si>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</si>
  <si>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</si>
  <si>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</si>
  <si>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</si>
  <si>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</si>
  <si>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</si>
  <si>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</si>
  <si>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</si>
  <si>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</si>
  <si>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</si>
  <si>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</si>
  <si>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</si>
  <si>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</si>
  <si>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</si>
  <si>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</si>
  <si>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</si>
  <si>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</si>
  <si>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</si>
  <si>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</si>
  <si>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</si>
  <si>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</si>
  <si>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</si>
  <si>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</si>
  <si>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</si>
  <si>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</si>
  <si>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</si>
  <si>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</si>
  <si>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</si>
  <si>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</si>
  <si>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</si>
  <si>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</si>
  <si>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</si>
  <si>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</si>
  <si>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</si>
  <si>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</si>
  <si>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</si>
  <si>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</si>
  <si>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</si>
  <si>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</si>
  <si>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</si>
  <si>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</si>
  <si>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</si>
  <si>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</si>
  <si>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</si>
  <si>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</si>
  <si>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</si>
  <si>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</si>
  <si>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</si>
  <si>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</si>
  <si>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</si>
  <si>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</si>
  <si>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</si>
  <si>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</si>
  <si>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</si>
  <si>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</si>
  <si>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</si>
  <si>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</si>
  <si>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</si>
  <si>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</si>
  <si>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</si>
  <si>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</si>
  <si>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</si>
  <si>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</si>
  <si>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</si>
  <si>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</si>
  <si>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</si>
  <si>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</si>
  <si>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</si>
  <si>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</si>
  <si>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</si>
  <si>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</si>
  <si>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</si>
  <si>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</si>
  <si>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</si>
  <si>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</si>
  <si>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</si>
  <si>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</si>
  <si>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</si>
  <si>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</si>
  <si>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</si>
  <si>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</si>
  <si>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</si>
  <si>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</si>
  <si>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</si>
  <si>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</si>
  <si>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</si>
  <si>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</si>
  <si>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</si>
  <si>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</si>
  <si>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</si>
  <si>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</si>
  <si>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</si>
  <si>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</si>
  <si>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</si>
  <si>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</si>
  <si>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</si>
  <si>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</si>
  <si>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</si>
  <si>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</si>
  <si>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</si>
  <si>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</si>
  <si>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</si>
  <si>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</si>
  <si>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</si>
  <si>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</si>
  <si>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</si>
  <si>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</si>
  <si>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</si>
  <si>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</si>
  <si>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</si>
  <si>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</si>
  <si>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</si>
  <si>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</si>
  <si>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</si>
  <si>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</si>
  <si>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</si>
  <si>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</si>
  <si>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</si>
  <si>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</si>
  <si>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</si>
  <si>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</si>
  <si>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</si>
  <si>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</si>
  <si>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</si>
  <si>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</si>
  <si>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</si>
  <si>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</si>
  <si>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</si>
  <si>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</si>
  <si>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</si>
  <si>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</si>
  <si>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</si>
  <si>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</si>
  <si>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</si>
  <si>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</si>
  <si>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</si>
  <si>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</si>
  <si>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</si>
  <si>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</si>
  <si>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</si>
  <si>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</si>
  <si>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</si>
  <si>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</si>
  <si>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</si>
  <si>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</si>
  <si>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</si>
  <si>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</si>
  <si>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</si>
  <si>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</si>
  <si>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</si>
  <si>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</si>
  <si>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</si>
  <si>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</si>
  <si>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</si>
  <si>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</si>
  <si>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</si>
  <si>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</si>
  <si>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</si>
  <si>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</si>
  <si>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</si>
  <si>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</si>
  <si>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</si>
  <si>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</si>
  <si>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</si>
  <si>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</si>
  <si>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</si>
  <si>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</si>
  <si>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</si>
  <si>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</si>
  <si>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</si>
  <si>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</si>
  <si>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</si>
  <si>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</si>
  <si>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</si>
  <si>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</si>
  <si>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</si>
  <si>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</si>
  <si>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</si>
  <si>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</si>
  <si>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</si>
  <si>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</si>
  <si>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</si>
  <si>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</si>
  <si>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</si>
  <si>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</si>
  <si>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</si>
  <si>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</si>
  <si>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</si>
  <si>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</si>
  <si>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</si>
  <si>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</si>
  <si>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</si>
  <si>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</si>
  <si>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</si>
  <si>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</si>
  <si>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</si>
  <si>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</si>
  <si>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</si>
  <si>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</si>
  <si>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</si>
  <si>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</si>
  <si>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</si>
  <si>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</si>
  <si>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</si>
  <si>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</si>
  <si>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</si>
  <si>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</si>
  <si>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</si>
  <si>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</si>
  <si>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</si>
  <si>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</si>
  <si>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</si>
  <si>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</si>
  <si>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</si>
  <si>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</si>
  <si>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</si>
  <si>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</si>
  <si>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</si>
  <si>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</si>
  <si>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</si>
  <si>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</si>
  <si>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</si>
  <si>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</si>
  <si>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</si>
  <si>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</si>
  <si>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</si>
  <si>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</si>
  <si>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</si>
  <si>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</si>
  <si>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</si>
  <si>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</si>
  <si>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</si>
  <si>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</si>
  <si>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</si>
  <si>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</si>
  <si>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</si>
  <si>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</si>
  <si>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</si>
  <si>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</si>
  <si>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</si>
  <si>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</si>
  <si>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</si>
  <si>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</si>
  <si>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</si>
  <si>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</si>
  <si>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</si>
  <si>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</si>
  <si>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</si>
  <si>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</si>
  <si>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</si>
  <si>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</si>
  <si>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</si>
  <si>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</si>
  <si>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</si>
  <si>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</si>
  <si>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</si>
  <si>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</si>
  <si>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</si>
  <si>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</si>
  <si>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</si>
  <si>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</si>
  <si>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</si>
  <si>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</si>
  <si>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</si>
  <si>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</si>
  <si>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</si>
  <si>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</si>
  <si>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</si>
  <si>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</si>
  <si>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</si>
  <si>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</si>
  <si>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</si>
  <si>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</si>
  <si>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</si>
  <si>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</si>
  <si>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</si>
  <si>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</si>
  <si>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</si>
  <si>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</si>
  <si>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</si>
  <si>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</si>
  <si>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</si>
  <si>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</si>
  <si>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</si>
  <si>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</si>
  <si>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</si>
  <si>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</si>
  <si>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</si>
  <si>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</si>
  <si>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</si>
  <si>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</si>
  <si>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</si>
  <si>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</si>
  <si>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</si>
  <si>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</si>
  <si>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</si>
  <si>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</si>
  <si>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</si>
  <si>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</si>
  <si>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</si>
  <si>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</si>
  <si>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</si>
  <si>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</si>
  <si>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</si>
  <si>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</si>
  <si>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</si>
  <si>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</si>
  <si>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</si>
  <si>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</si>
  <si>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</si>
  <si>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</si>
  <si>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</si>
  <si>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</si>
  <si>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</si>
  <si>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</si>
  <si>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</si>
  <si>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</si>
  <si>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</si>
  <si>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</si>
  <si>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</si>
  <si>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</si>
  <si>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</si>
  <si>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</si>
  <si>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</si>
  <si>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</si>
  <si>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</si>
  <si>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</si>
  <si>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</si>
  <si>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</si>
  <si>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</si>
  <si>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</si>
  <si>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</si>
  <si>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</si>
  <si>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</si>
  <si>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</si>
  <si>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</si>
  <si>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</si>
  <si>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</si>
  <si>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</si>
  <si>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</si>
  <si>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</si>
  <si>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</si>
  <si>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</si>
  <si>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</si>
  <si>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</si>
  <si>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</si>
  <si>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</si>
  <si>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</si>
  <si>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</si>
  <si>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</si>
  <si>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</si>
  <si>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</si>
  <si>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</si>
  <si>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</si>
  <si>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</si>
  <si>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</si>
  <si>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</si>
  <si>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</si>
  <si>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</si>
  <si>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</si>
  <si>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</si>
  <si>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</si>
  <si>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</si>
  <si>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</si>
  <si>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</si>
  <si>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</si>
  <si>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</si>
  <si>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</si>
  <si>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</si>
  <si>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</si>
  <si>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</si>
  <si>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</si>
  <si>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</si>
  <si>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</si>
  <si>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</si>
  <si>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</si>
  <si>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</si>
  <si>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</si>
  <si>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</si>
  <si>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</si>
  <si>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</si>
  <si>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</si>
  <si>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</si>
  <si>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</si>
  <si>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</si>
  <si>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</si>
  <si>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</si>
  <si>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</si>
  <si>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</si>
  <si>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</si>
  <si>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</si>
  <si>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</si>
  <si>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</si>
  <si>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</si>
  <si>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</si>
  <si>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</si>
  <si>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</si>
  <si>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</si>
  <si>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</si>
  <si>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</si>
  <si>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</si>
  <si>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</si>
  <si>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</si>
  <si>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</si>
  <si>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</si>
  <si>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</si>
  <si>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</si>
  <si>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</si>
  <si>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</si>
  <si>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</si>
  <si>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</si>
  <si>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</si>
  <si>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</si>
  <si>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</si>
  <si>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</si>
  <si>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</si>
  <si>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</si>
  <si>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</si>
  <si>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</si>
  <si>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</si>
  <si>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</si>
  <si>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</si>
  <si>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</si>
  <si>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</si>
  <si>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</si>
  <si>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</si>
  <si>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</si>
  <si>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</si>
  <si>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</si>
  <si>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</si>
  <si>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</si>
  <si>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</si>
  <si>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</si>
  <si>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</si>
  <si>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</si>
  <si>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</si>
  <si>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</si>
  <si>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</si>
  <si>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</si>
  <si>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</si>
  <si>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</si>
  <si>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</si>
  <si>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</si>
  <si>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</si>
  <si>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</si>
  <si>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</si>
  <si>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</si>
  <si>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</si>
  <si>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</si>
  <si>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</si>
  <si>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</si>
  <si>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</si>
  <si>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</si>
  <si>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</si>
  <si>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</si>
  <si>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</si>
  <si>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</si>
  <si>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</si>
  <si>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</si>
  <si>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</si>
  <si>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</si>
  <si>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</si>
  <si>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</si>
  <si>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</si>
  <si>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</si>
  <si>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</si>
  <si>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</si>
  <si>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</si>
  <si>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</si>
  <si>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</si>
  <si>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</si>
  <si>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</si>
  <si>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</si>
  <si>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</si>
  <si>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</si>
  <si>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</si>
  <si>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</si>
  <si>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</si>
  <si>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</si>
  <si>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</si>
  <si>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</si>
  <si>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</si>
  <si>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</si>
  <si>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</si>
  <si>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</si>
  <si>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</si>
  <si>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</si>
  <si>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</si>
  <si>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</si>
  <si>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</si>
  <si>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</si>
  <si>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</si>
  <si>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</si>
  <si>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</si>
  <si>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</si>
  <si>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</si>
  <si>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</si>
  <si>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</si>
  <si>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</si>
  <si>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</si>
  <si>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</si>
  <si>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</si>
  <si>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</si>
  <si>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</si>
  <si>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</si>
  <si>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</si>
  <si>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</si>
  <si>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</si>
  <si>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</si>
  <si>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</si>
  <si>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</si>
  <si>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</si>
  <si>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</si>
  <si>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</si>
  <si>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</si>
  <si>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</si>
  <si>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</si>
  <si>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</si>
  <si>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</si>
  <si>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</si>
  <si>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</si>
  <si>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</si>
  <si>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</si>
  <si>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</si>
  <si>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</si>
  <si>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</si>
  <si>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</si>
  <si>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</si>
  <si>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</si>
  <si>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</si>
  <si>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</si>
  <si>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</si>
  <si>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</si>
  <si>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</si>
  <si>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</si>
  <si>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</si>
  <si>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</si>
  <si>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</si>
  <si>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</si>
  <si>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</si>
  <si>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</si>
  <si>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</si>
  <si>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</si>
  <si>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</si>
  <si>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</si>
  <si>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</si>
  <si>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</si>
  <si>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</si>
  <si>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</si>
  <si>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</si>
  <si>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</si>
  <si>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</si>
  <si>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</si>
  <si>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</si>
  <si>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</si>
  <si>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</si>
  <si>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</si>
  <si>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</si>
  <si>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</si>
  <si>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</si>
  <si>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</si>
  <si>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</si>
  <si>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</si>
  <si>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</si>
  <si>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</si>
  <si>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</si>
  <si>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</si>
  <si>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</si>
  <si>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</si>
  <si>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</si>
  <si>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</si>
  <si>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</si>
  <si>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</si>
  <si>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</si>
  <si>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</si>
  <si>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</si>
  <si>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</si>
  <si>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</si>
  <si>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</si>
  <si>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</si>
  <si>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</si>
  <si>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</si>
  <si>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</si>
  <si>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</si>
  <si>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</si>
  <si>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</si>
  <si>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</si>
  <si>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</si>
  <si>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</si>
  <si>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</si>
  <si>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</si>
  <si>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</si>
  <si>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</si>
  <si>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</si>
  <si>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</si>
  <si>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</si>
  <si>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</si>
  <si>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</si>
  <si>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</si>
  <si>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</si>
  <si>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</si>
  <si>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</si>
  <si>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</si>
  <si>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</si>
  <si>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</si>
  <si>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</si>
  <si>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</si>
  <si>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</si>
  <si>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</si>
  <si>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</si>
  <si>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</si>
  <si>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</si>
  <si>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</si>
  <si>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</si>
  <si>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</si>
  <si>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</si>
  <si>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</si>
  <si>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</si>
  <si>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</si>
  <si>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</si>
  <si>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</si>
  <si>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</si>
  <si>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</si>
  <si>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</si>
  <si>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</si>
  <si>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</si>
  <si>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</si>
  <si>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</si>
  <si>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</si>
  <si>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</si>
  <si>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</si>
  <si>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</si>
  <si>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</si>
  <si>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</si>
  <si>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</si>
  <si>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</si>
  <si>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</si>
  <si>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</si>
  <si>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</si>
  <si>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</si>
  <si>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</si>
  <si>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</si>
  <si>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</si>
  <si>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</si>
  <si>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</si>
  <si>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</si>
  <si>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</si>
  <si>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</si>
  <si>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</si>
  <si>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</si>
  <si>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</si>
  <si>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</si>
  <si>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</si>
  <si>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</si>
  <si>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</si>
  <si>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</si>
  <si>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</si>
  <si>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</si>
  <si>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</si>
  <si>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</si>
  <si>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</si>
  <si>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</si>
  <si>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</si>
  <si>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</si>
  <si>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</si>
  <si>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</si>
  <si>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</si>
  <si>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</si>
  <si>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</si>
  <si>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</si>
  <si>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</si>
  <si>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</si>
  <si>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</si>
  <si>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</si>
  <si>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</si>
  <si>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</si>
  <si>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</si>
  <si>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</si>
  <si>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</si>
  <si>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</si>
  <si>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</si>
  <si>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</si>
  <si>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</si>
  <si>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</si>
  <si>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</si>
  <si>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</si>
  <si>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</si>
  <si>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</si>
  <si>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</si>
  <si>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</si>
  <si>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</si>
  <si>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</si>
  <si>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</si>
  <si>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</si>
  <si>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</si>
  <si>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</si>
  <si>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</si>
  <si>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</si>
  <si>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</si>
  <si>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</si>
  <si>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</si>
  <si>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</si>
  <si>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</si>
  <si>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</si>
  <si>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</si>
  <si>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</si>
  <si>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</si>
  <si>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</si>
  <si>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</si>
  <si>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</si>
  <si>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</si>
  <si>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</si>
  <si>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</si>
  <si>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</si>
  <si>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</si>
  <si>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</si>
  <si>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</si>
  <si>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</si>
  <si>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</si>
  <si>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</si>
  <si>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</si>
  <si>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</si>
  <si>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</si>
  <si>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</si>
  <si>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</si>
  <si>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</si>
  <si>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</si>
  <si>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</si>
  <si>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</si>
  <si>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</si>
  <si>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</si>
  <si>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</si>
  <si>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</si>
  <si>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</si>
  <si>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</si>
  <si>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</si>
  <si>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</si>
  <si>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</si>
  <si>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</si>
  <si>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</si>
  <si>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</si>
  <si>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</si>
  <si>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</si>
  <si>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</si>
  <si>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</si>
  <si>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</si>
  <si>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</si>
  <si>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</si>
  <si>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</si>
  <si>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</si>
  <si>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</si>
  <si>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</si>
  <si>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</si>
  <si>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</si>
  <si>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</si>
  <si>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</si>
  <si>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</si>
  <si>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</si>
  <si>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</si>
  <si>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</si>
  <si>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</si>
  <si>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</si>
  <si>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</si>
  <si>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</si>
  <si>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</si>
  <si>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</si>
  <si>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</si>
  <si>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</si>
  <si>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</si>
  <si>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</si>
  <si>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</si>
  <si>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</si>
  <si>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</si>
  <si>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</si>
  <si>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</si>
  <si>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</si>
  <si>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</si>
  <si>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</si>
  <si>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</si>
  <si>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</si>
  <si>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</si>
  <si>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</si>
  <si>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</si>
  <si>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</si>
  <si>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</si>
  <si>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</si>
  <si>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</si>
  <si>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</si>
  <si>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</si>
  <si>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</si>
  <si>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</si>
  <si>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</si>
  <si>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</si>
  <si>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</si>
  <si>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</si>
  <si>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</si>
  <si>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</si>
  <si>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</si>
  <si>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</si>
  <si>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</si>
  <si>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</si>
  <si>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</si>
  <si>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</si>
  <si>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</si>
  <si>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</si>
  <si>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</si>
  <si>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</si>
  <si>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</si>
  <si>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</si>
  <si>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</si>
  <si>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</si>
  <si>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</si>
  <si>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</si>
  <si>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</si>
  <si>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</si>
  <si>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</si>
  <si>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</si>
  <si>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</si>
  <si>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</si>
  <si>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</si>
  <si>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</si>
  <si>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</si>
  <si>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</si>
  <si>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</si>
  <si>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</si>
  <si>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</si>
  <si>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</si>
  <si>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</si>
  <si>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</si>
  <si>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</si>
  <si>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</si>
  <si>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</si>
  <si>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</si>
  <si>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</si>
  <si>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</si>
  <si>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</si>
  <si>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</si>
  <si>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</si>
  <si>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</si>
  <si>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</si>
  <si>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</si>
  <si>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</si>
  <si>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</si>
  <si>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</si>
  <si>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</si>
  <si>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</si>
  <si>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</si>
  <si>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</si>
  <si>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</si>
  <si>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</si>
  <si>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</si>
  <si>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</si>
  <si>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</si>
  <si>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</si>
  <si>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</si>
  <si>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</si>
  <si>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</si>
  <si>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</si>
  <si>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</si>
  <si>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</si>
  <si>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</si>
  <si>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</si>
  <si>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</si>
  <si>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</si>
  <si>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</si>
  <si>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</si>
  <si>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</si>
  <si>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</si>
  <si>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</si>
  <si>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</si>
  <si>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</si>
  <si>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</si>
  <si>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</si>
  <si>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</si>
  <si>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</si>
  <si>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</si>
  <si>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</si>
  <si>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</si>
  <si>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</si>
  <si>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</si>
  <si>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</si>
  <si>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</si>
  <si>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</si>
  <si>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</si>
  <si>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</si>
  <si>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</si>
  <si>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</si>
  <si>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</si>
  <si>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</si>
  <si>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</si>
  <si>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</si>
  <si>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</si>
  <si>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</si>
  <si>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</si>
  <si>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</si>
  <si>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</si>
  <si>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</si>
  <si>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</si>
  <si>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</si>
  <si>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</si>
  <si>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</si>
  <si>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</si>
  <si>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</si>
  <si>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</si>
  <si>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</si>
  <si>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</si>
  <si>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</si>
  <si>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</si>
  <si>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</si>
  <si>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</si>
  <si>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</si>
  <si>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</si>
  <si>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</si>
  <si>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</si>
  <si>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</si>
  <si>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</si>
  <si>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</si>
  <si>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</si>
  <si>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</si>
  <si>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</si>
  <si>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</si>
  <si>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</si>
  <si>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</si>
  <si>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</si>
  <si>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</si>
  <si>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</si>
  <si>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</si>
  <si>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</si>
  <si>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</si>
  <si>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</si>
  <si>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</si>
  <si>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</si>
  <si>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</si>
  <si>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</si>
  <si>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</si>
  <si>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</si>
  <si>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</si>
  <si>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</si>
  <si>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</si>
  <si>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</si>
  <si>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</si>
  <si>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</si>
  <si>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</si>
  <si>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</si>
  <si>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</si>
  <si>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</si>
  <si>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</si>
  <si>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</si>
  <si>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</si>
  <si>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</si>
  <si>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</si>
  <si>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</si>
  <si>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</si>
  <si>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</si>
  <si>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</si>
  <si>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</si>
  <si>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</si>
  <si>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</si>
  <si>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</si>
  <si>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</si>
  <si>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</si>
  <si>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</si>
  <si>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</si>
  <si>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</si>
  <si>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</si>
  <si>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</si>
  <si>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</si>
  <si>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</si>
  <si>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</si>
  <si>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</si>
  <si>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</si>
  <si>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</si>
  <si>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</si>
  <si>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</si>
  <si>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</si>
  <si>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</si>
  <si>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</si>
  <si>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</si>
  <si>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</si>
  <si>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</si>
  <si>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</si>
  <si>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</si>
  <si>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</si>
  <si>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</si>
  <si>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</si>
  <si>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</si>
  <si>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</si>
  <si>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</si>
  <si>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</si>
  <si>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</si>
  <si>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</si>
  <si>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</si>
  <si>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</si>
  <si>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</si>
  <si>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</si>
  <si>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</si>
  <si>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</si>
  <si>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</si>
  <si>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</si>
  <si>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</si>
  <si>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</si>
  <si>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</si>
  <si>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</si>
  <si>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</si>
  <si>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</si>
  <si>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</si>
  <si>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</si>
  <si>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</si>
  <si>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</si>
  <si>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</si>
  <si>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</si>
  <si>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</si>
  <si>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</si>
  <si>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</si>
  <si>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</si>
  <si>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</si>
  <si>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</si>
  <si>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</si>
  <si>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</si>
  <si>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</si>
  <si>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</si>
  <si>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</si>
  <si>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</si>
  <si>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</si>
  <si>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</si>
  <si>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</si>
  <si>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</si>
  <si>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</si>
  <si>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</si>
  <si>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</si>
  <si>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</si>
  <si>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</si>
  <si>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</si>
  <si>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</si>
  <si>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</si>
  <si>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</si>
  <si>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</si>
  <si>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</si>
  <si>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</si>
  <si>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</si>
  <si>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</si>
  <si>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</si>
  <si>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</si>
  <si>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</si>
  <si>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</si>
  <si>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</si>
  <si>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</si>
  <si>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</si>
  <si>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</si>
  <si>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</si>
  <si>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</si>
  <si>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</si>
  <si>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</si>
  <si>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</si>
  <si>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</si>
  <si>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</si>
  <si>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</si>
  <si>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</si>
  <si>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</si>
  <si>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</si>
  <si>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</si>
  <si>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</si>
  <si>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</si>
  <si>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</si>
  <si>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</si>
  <si>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</si>
  <si>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</si>
  <si>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</si>
  <si>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</si>
  <si>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</si>
  <si>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</si>
  <si>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</si>
  <si>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</si>
  <si>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</si>
  <si>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</si>
  <si>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</si>
  <si>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</si>
  <si>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</si>
  <si>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</si>
  <si>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</si>
  <si>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</si>
  <si>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</si>
  <si>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</si>
  <si>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</si>
  <si>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</si>
  <si>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</si>
  <si>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</si>
  <si>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</si>
  <si>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</si>
  <si>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</si>
  <si>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</si>
  <si>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</si>
  <si>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</si>
  <si>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</si>
  <si>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</si>
  <si>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</si>
  <si>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</si>
  <si>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</si>
  <si>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</si>
  <si>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</si>
  <si>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</si>
  <si>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</si>
  <si>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</si>
  <si>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</si>
  <si>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</si>
  <si>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</si>
  <si>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</si>
  <si>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</si>
  <si>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</si>
  <si>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</si>
  <si>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</si>
  <si>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</si>
  <si>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</si>
  <si>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</si>
  <si>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</si>
  <si>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</si>
  <si>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</si>
  <si>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</si>
  <si>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</si>
  <si>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</si>
  <si>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</si>
  <si>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</si>
  <si>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</si>
  <si>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</si>
  <si>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</si>
  <si>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</si>
  <si>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</si>
  <si>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</si>
  <si>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</si>
  <si>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</si>
  <si>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</si>
  <si>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</si>
  <si>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</si>
  <si>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</si>
  <si>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</si>
  <si>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</si>
  <si>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</si>
  <si>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</si>
  <si>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</si>
  <si>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</si>
  <si>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</si>
  <si>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</si>
  <si>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</si>
  <si>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</si>
  <si>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</si>
  <si>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</si>
  <si>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</si>
  <si>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</si>
  <si>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</si>
  <si>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</si>
  <si>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</si>
  <si>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</si>
  <si>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</si>
  <si>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</si>
  <si>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</si>
  <si>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</si>
  <si>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</si>
  <si>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</si>
  <si>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</si>
  <si>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</si>
  <si>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</si>
  <si>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</si>
  <si>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</si>
  <si>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</si>
  <si>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</si>
  <si>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</si>
  <si>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</si>
  <si>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</si>
  <si>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</si>
  <si>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</si>
  <si>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</si>
  <si>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</si>
  <si>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</si>
  <si>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</si>
  <si>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</si>
  <si>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</si>
  <si>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</si>
  <si>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</si>
  <si>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</si>
  <si>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</si>
  <si>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</si>
  <si>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</si>
  <si>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</si>
  <si>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</si>
  <si>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</si>
  <si>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</si>
  <si>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</si>
  <si>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</si>
  <si>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</si>
  <si>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</si>
  <si>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</si>
  <si>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</si>
  <si>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</si>
  <si>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</si>
  <si>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</si>
  <si>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</si>
  <si>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</si>
  <si>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</si>
  <si>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</si>
  <si>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</si>
  <si>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</si>
  <si>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</si>
  <si>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</si>
  <si>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</si>
  <si>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</si>
  <si>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</si>
  <si>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</si>
  <si>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</si>
  <si>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</si>
  <si>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</si>
  <si>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</si>
  <si>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</si>
  <si>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</si>
  <si>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</si>
  <si>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</si>
  <si>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</si>
  <si>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</si>
  <si>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</si>
  <si>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</si>
  <si>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</si>
  <si>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</si>
  <si>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</si>
  <si>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</si>
  <si>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</si>
  <si>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</si>
  <si>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</si>
  <si>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</si>
  <si>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</si>
  <si>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</si>
  <si>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</si>
  <si>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</si>
  <si>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</si>
  <si>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</si>
  <si>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</si>
  <si>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</si>
  <si>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</si>
  <si>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</si>
  <si>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</si>
  <si>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</si>
  <si>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</si>
  <si>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</si>
  <si>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</si>
  <si>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</si>
  <si>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</si>
  <si>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</si>
  <si>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</si>
  <si>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</si>
  <si>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</si>
  <si>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</si>
  <si>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</si>
  <si>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</si>
  <si>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</si>
  <si>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</si>
  <si>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</si>
  <si>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</si>
  <si>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</si>
  <si>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</si>
  <si>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</si>
  <si>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</si>
  <si>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</si>
  <si>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</si>
  <si>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</si>
  <si>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</si>
  <si>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</si>
  <si>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</si>
  <si>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</si>
  <si>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</si>
  <si>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</si>
  <si>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</si>
  <si>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</si>
  <si>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</si>
  <si>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</si>
  <si>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</si>
  <si>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</si>
  <si>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</si>
  <si>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</si>
  <si>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</si>
  <si>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</si>
  <si>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</si>
  <si>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</si>
  <si>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</si>
  <si>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</si>
  <si>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</si>
  <si>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</si>
  <si>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</si>
  <si>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</si>
  <si>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</si>
  <si>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</si>
  <si>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</si>
  <si>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</si>
  <si>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</si>
  <si>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</si>
  <si>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</si>
  <si>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</si>
  <si>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</si>
  <si>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</si>
  <si>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</si>
  <si>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</si>
  <si>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</si>
  <si>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</si>
  <si>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</si>
  <si>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</si>
  <si>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</si>
  <si>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</si>
  <si>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</si>
  <si>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</si>
  <si>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</si>
  <si>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</si>
  <si>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</si>
  <si>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</si>
  <si>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</si>
  <si>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</si>
  <si>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</si>
  <si>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</si>
  <si>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</si>
  <si>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</si>
  <si>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</si>
  <si>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</si>
  <si>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</si>
  <si>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</si>
  <si>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</si>
  <si>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</si>
  <si>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</si>
  <si>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</si>
  <si>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</si>
  <si>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</si>
  <si>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</si>
  <si>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</si>
  <si>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</si>
  <si>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</si>
  <si>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</si>
  <si>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</si>
  <si>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</si>
  <si>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</si>
  <si>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</si>
  <si>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</si>
  <si>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</si>
  <si>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</si>
  <si>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</si>
  <si>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</si>
  <si>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</si>
  <si>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</si>
  <si>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</si>
  <si>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</si>
  <si>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</si>
  <si>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</si>
  <si>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</si>
  <si>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</si>
  <si>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</si>
  <si>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</si>
  <si>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</si>
  <si>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</si>
  <si>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</si>
  <si>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</si>
  <si>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</si>
  <si>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</si>
  <si>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</si>
  <si>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</si>
  <si>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</si>
  <si>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</si>
  <si>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</si>
  <si>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</si>
  <si>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</si>
  <si>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</si>
  <si>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</si>
  <si>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</si>
  <si>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</si>
  <si>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</si>
  <si>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</si>
  <si>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</si>
  <si>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</si>
  <si>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</si>
  <si>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</si>
  <si>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</si>
  <si>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</si>
  <si>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</si>
  <si>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</si>
  <si>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</si>
  <si>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</si>
  <si>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</si>
  <si>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</si>
  <si>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</si>
  <si>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</si>
  <si>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</si>
  <si>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</si>
  <si>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</si>
  <si>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</si>
  <si>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</si>
  <si>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</si>
  <si>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</si>
  <si>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</si>
  <si>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</si>
  <si>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</si>
  <si>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</si>
  <si>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</si>
  <si>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</si>
  <si>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</si>
  <si>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</si>
  <si>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</si>
  <si>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</si>
  <si>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</si>
  <si>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</si>
  <si>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</si>
  <si>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</si>
  <si>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</si>
  <si>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</si>
  <si>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</si>
  <si>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</si>
  <si>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</si>
  <si>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</si>
  <si>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</si>
  <si>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</si>
  <si>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</si>
  <si>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</si>
  <si>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</si>
  <si>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</si>
  <si>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</si>
  <si>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</si>
  <si>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</si>
  <si>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</si>
  <si>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</si>
  <si>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</si>
  <si>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</si>
  <si>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</si>
  <si>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</si>
  <si>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</si>
  <si>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</si>
  <si>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</si>
  <si>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</si>
  <si>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</si>
  <si>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</si>
  <si>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</si>
  <si>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</si>
  <si>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</si>
  <si>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</si>
  <si>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</si>
  <si>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</si>
  <si>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</si>
  <si>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</si>
  <si>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</si>
  <si>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</si>
  <si>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</si>
  <si>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</si>
  <si>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</si>
  <si>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</si>
  <si>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</si>
  <si>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</si>
  <si>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</si>
  <si>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</si>
  <si>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</si>
  <si>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</si>
  <si>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</si>
  <si>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</si>
  <si>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</si>
  <si>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</si>
  <si>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</si>
  <si>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</si>
  <si>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</si>
  <si>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</si>
  <si>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</si>
  <si>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</si>
  <si>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</si>
  <si>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</si>
  <si>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</si>
  <si>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</si>
  <si>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</si>
  <si>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</si>
  <si>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</si>
  <si>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</si>
  <si>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</si>
  <si>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</si>
  <si>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</si>
  <si>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</si>
  <si>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</si>
  <si>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</si>
  <si>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</si>
  <si>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</si>
  <si>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</si>
  <si>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</si>
  <si>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</si>
  <si>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</si>
  <si>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</si>
  <si>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</si>
  <si>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</si>
  <si>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</si>
  <si>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</si>
  <si>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</si>
  <si>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</si>
  <si>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</si>
  <si>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</si>
  <si>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</si>
  <si>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</si>
  <si>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</si>
  <si>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</si>
  <si>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</si>
  <si>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</si>
  <si>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</si>
  <si>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</si>
  <si>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</si>
  <si>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</si>
  <si>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</si>
  <si>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</si>
  <si>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</si>
  <si>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</si>
  <si>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</si>
  <si>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</si>
  <si>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</si>
  <si>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</si>
  <si>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</si>
  <si>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</si>
  <si>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</si>
  <si>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</si>
  <si>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</si>
  <si>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</si>
  <si>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</si>
  <si>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</si>
  <si>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</si>
  <si>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</si>
  <si>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</si>
  <si>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</si>
  <si>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</si>
  <si>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</si>
  <si>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</si>
  <si>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</si>
  <si>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</si>
  <si>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</si>
  <si>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</si>
  <si>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</si>
  <si>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</si>
  <si>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</si>
  <si>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</si>
  <si>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</si>
  <si>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</si>
  <si>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</si>
  <si>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</si>
  <si>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</si>
  <si>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</si>
  <si>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</si>
  <si>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</si>
  <si>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</si>
  <si>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</si>
  <si>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</si>
  <si>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</si>
  <si>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</si>
  <si>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</si>
  <si>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</si>
  <si>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</si>
  <si>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</si>
  <si>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</si>
  <si>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</si>
  <si>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</si>
  <si>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</si>
  <si>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</si>
  <si>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</si>
  <si>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</si>
  <si>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</si>
  <si>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</si>
  <si>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</si>
  <si>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</si>
  <si>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</si>
  <si>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</si>
  <si>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</si>
  <si>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</si>
  <si>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</si>
  <si>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</si>
  <si>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</si>
  <si>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</si>
  <si>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</si>
  <si>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</si>
  <si>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</si>
  <si>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</si>
  <si>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</si>
  <si>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</si>
  <si>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</si>
  <si>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</si>
  <si>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</si>
  <si>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</si>
  <si>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</si>
  <si>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</si>
  <si>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</si>
  <si>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</si>
  <si>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</si>
  <si>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</si>
  <si>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</si>
  <si>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</si>
  <si>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</si>
  <si>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</si>
  <si>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</si>
  <si>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</si>
  <si>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</si>
  <si>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</si>
  <si>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</si>
  <si>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</si>
  <si>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</si>
  <si>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</si>
  <si>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</si>
  <si>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</si>
  <si>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</si>
  <si>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</si>
  <si>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</si>
  <si>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</si>
  <si>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</si>
  <si>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</si>
  <si>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</si>
  <si>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</si>
  <si>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</si>
  <si>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</si>
  <si>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</si>
  <si>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</si>
  <si>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</si>
  <si>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</si>
  <si>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</si>
  <si>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</si>
  <si>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</si>
  <si>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</si>
  <si>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</si>
  <si>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</si>
  <si>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</si>
  <si>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</si>
  <si>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</si>
  <si>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</si>
  <si>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</si>
  <si>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</si>
  <si>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</si>
  <si>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</si>
  <si>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</si>
  <si>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</si>
  <si>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</si>
  <si>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</si>
  <si>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</si>
  <si>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</si>
  <si>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</si>
  <si>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</si>
  <si>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</si>
  <si>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</si>
  <si>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</si>
  <si>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</si>
  <si>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</si>
  <si>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</si>
  <si>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</si>
  <si>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</si>
  <si>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</si>
  <si>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</si>
  <si>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</si>
  <si>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</si>
  <si>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</si>
  <si>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</si>
  <si>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</si>
  <si>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</si>
  <si>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</si>
  <si>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</si>
  <si>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</si>
  <si>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</si>
  <si>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</si>
  <si>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</si>
  <si>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</si>
  <si>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</si>
  <si>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</si>
  <si>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</si>
  <si>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</si>
  <si>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</si>
  <si>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</si>
  <si>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</si>
  <si>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</si>
  <si>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</si>
  <si>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</si>
  <si>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</si>
  <si>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</si>
  <si>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</si>
  <si>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</si>
  <si>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</si>
  <si>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</si>
  <si>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</si>
  <si>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</si>
  <si>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</si>
  <si>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</si>
  <si>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</si>
  <si>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</si>
  <si>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</si>
  <si>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</si>
  <si>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</si>
  <si>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</si>
  <si>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</si>
  <si>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</si>
  <si>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</si>
  <si>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</si>
  <si>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</si>
  <si>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</si>
  <si>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</si>
  <si>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</si>
  <si>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</si>
  <si>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</si>
  <si>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</si>
  <si>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</si>
  <si>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</si>
  <si>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</si>
  <si>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</si>
  <si>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</si>
  <si>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</si>
  <si>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</si>
  <si>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</si>
  <si>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</si>
  <si>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</si>
  <si>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</si>
  <si>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</si>
  <si>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</si>
  <si>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</si>
  <si>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</si>
  <si>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</si>
  <si>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</si>
  <si>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</si>
  <si>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</si>
  <si>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</si>
  <si>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</si>
  <si>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</si>
  <si>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</si>
  <si>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</si>
  <si>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</si>
  <si>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</si>
  <si>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</si>
  <si>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</si>
  <si>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</si>
  <si>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</si>
  <si>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</si>
  <si>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</si>
  <si>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</si>
  <si>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</si>
  <si>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</si>
  <si>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</si>
  <si>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</si>
  <si>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</si>
  <si>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</si>
  <si>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</si>
  <si>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</si>
  <si>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</si>
  <si>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</si>
  <si>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</si>
  <si>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</si>
  <si>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</si>
  <si>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</si>
  <si>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</si>
  <si>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</si>
  <si>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</si>
  <si>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</si>
  <si>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</si>
  <si>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</si>
  <si>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</si>
  <si>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</si>
  <si>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</si>
  <si>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</si>
  <si>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</si>
  <si>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</si>
  <si>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</si>
  <si>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</si>
  <si>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</si>
  <si>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</si>
  <si>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</si>
  <si>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</si>
  <si>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</si>
  <si>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</si>
  <si>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</si>
  <si>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</si>
  <si>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</si>
  <si>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</si>
  <si>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</si>
  <si>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</si>
  <si>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</si>
  <si>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</si>
  <si>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</si>
  <si>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</si>
  <si>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</si>
  <si>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</si>
  <si>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</si>
  <si>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</si>
  <si>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</si>
  <si>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</si>
  <si>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</si>
  <si>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</si>
  <si>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</si>
  <si>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</si>
  <si>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</si>
  <si>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</si>
  <si>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</si>
  <si>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</si>
  <si>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</si>
  <si>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</si>
  <si>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</si>
  <si>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</si>
  <si>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</si>
  <si>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</si>
  <si>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</si>
  <si>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</si>
  <si>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</si>
  <si>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</si>
  <si>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</si>
  <si>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</si>
  <si>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</si>
  <si>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</si>
  <si>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</si>
  <si>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</si>
  <si>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</si>
  <si>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</si>
  <si>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</si>
  <si>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</si>
  <si>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</si>
  <si>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</si>
  <si>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</si>
  <si>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</si>
  <si>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</si>
  <si>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</si>
  <si>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</si>
  <si>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</si>
  <si>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</si>
  <si>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</si>
  <si>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</si>
  <si>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</si>
  <si>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</si>
  <si>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</si>
  <si>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</si>
  <si>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</si>
  <si>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</si>
  <si>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</si>
  <si>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</si>
  <si>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</si>
  <si>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</si>
  <si>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</si>
  <si>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</si>
  <si>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</si>
  <si>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</si>
  <si>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</si>
  <si>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</si>
  <si>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</si>
  <si>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</si>
  <si>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</si>
  <si>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</si>
  <si>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</si>
  <si>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</si>
  <si>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</si>
  <si>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</si>
  <si>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</si>
  <si>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</si>
  <si>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</si>
  <si>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</si>
  <si>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</si>
  <si>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</si>
  <si>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</si>
  <si>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</si>
  <si>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</si>
  <si>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</si>
  <si>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</si>
  <si>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</si>
  <si>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</si>
  <si>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</si>
  <si>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</si>
  <si>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</si>
  <si>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</si>
  <si>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</si>
  <si>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</si>
  <si>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</si>
  <si>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</si>
  <si>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</si>
  <si>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</si>
  <si>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</si>
  <si>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</si>
  <si>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</si>
  <si>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</si>
  <si>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</si>
  <si>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</si>
  <si>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</si>
  <si>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</si>
  <si>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</si>
  <si>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</si>
  <si>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</si>
  <si>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</si>
  <si>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</si>
  <si>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</si>
  <si>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</si>
  <si>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</si>
  <si>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</si>
  <si>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</si>
  <si>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</si>
  <si>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</si>
  <si>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</si>
  <si>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</si>
  <si>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</si>
  <si>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</si>
  <si>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</si>
  <si>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</si>
  <si>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</si>
  <si>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</si>
  <si>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</si>
  <si>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</si>
  <si>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</si>
  <si>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</si>
  <si>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</si>
  <si>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</si>
  <si>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</si>
  <si>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</si>
  <si>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</si>
  <si>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</si>
  <si>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</si>
  <si>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</si>
  <si>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</si>
  <si>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</si>
  <si>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</si>
  <si>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</si>
  <si>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</si>
  <si>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</si>
  <si>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</si>
  <si>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</si>
  <si>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</si>
  <si>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</si>
  <si>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</si>
  <si>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</si>
  <si>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</si>
  <si>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</si>
  <si>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</si>
  <si>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</si>
  <si>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</si>
  <si>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</si>
  <si>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</si>
  <si>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</si>
  <si>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</si>
  <si>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</si>
  <si>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</si>
  <si>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</si>
  <si>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</si>
  <si>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</si>
  <si>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</si>
  <si>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</si>
  <si>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</si>
  <si>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</si>
  <si>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</si>
  <si>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</si>
  <si>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</si>
  <si>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</si>
  <si>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</si>
  <si>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</si>
  <si>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</si>
  <si>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</si>
  <si>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</si>
  <si>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</si>
  <si>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</si>
  <si>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</si>
  <si>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</si>
  <si>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</si>
  <si>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</si>
  <si>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</si>
  <si>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</si>
  <si>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</si>
  <si>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</si>
  <si>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</si>
  <si>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</si>
  <si>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</si>
  <si>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</si>
  <si>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</si>
  <si>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</si>
  <si>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</si>
  <si>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</si>
  <si>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</si>
  <si>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</si>
  <si>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</si>
  <si>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</si>
  <si>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</si>
  <si>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</si>
  <si>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</si>
  <si>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</si>
  <si>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</si>
  <si>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</si>
  <si>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</si>
  <si>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</si>
  <si>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</si>
  <si>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</si>
  <si>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</si>
  <si>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</si>
  <si>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</si>
  <si>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</si>
  <si>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</si>
  <si>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</si>
  <si>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</si>
  <si>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</si>
  <si>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</si>
  <si>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</si>
  <si>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</si>
  <si>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</si>
  <si>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</si>
  <si>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</si>
  <si>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</si>
  <si>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</si>
  <si>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</si>
  <si>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</si>
  <si>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</si>
  <si>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</si>
  <si>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</si>
  <si>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</si>
  <si>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</si>
  <si>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</si>
  <si>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</si>
  <si>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</si>
  <si>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</si>
  <si>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</si>
  <si>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</si>
  <si>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</si>
  <si>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</si>
  <si>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</si>
  <si>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</si>
  <si>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</si>
  <si>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</si>
  <si>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</si>
  <si>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</si>
  <si>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</si>
  <si>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</si>
  <si>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</si>
  <si>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</si>
  <si>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</si>
  <si>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</si>
  <si>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</si>
  <si>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</si>
  <si>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</si>
  <si>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</si>
  <si>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</si>
  <si>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</si>
  <si>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</si>
  <si>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</si>
  <si>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</si>
  <si>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</si>
  <si>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</si>
  <si>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</si>
  <si>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</si>
  <si>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</si>
  <si>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</si>
  <si>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</si>
  <si>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</si>
  <si>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</si>
  <si>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</si>
  <si>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</si>
  <si>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</si>
  <si>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</si>
  <si>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</si>
  <si>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</si>
  <si>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</si>
  <si>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</si>
  <si>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</si>
  <si>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</si>
  <si>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</si>
  <si>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</si>
  <si>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</si>
  <si>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</si>
  <si>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</si>
  <si>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</si>
  <si>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</si>
  <si>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</si>
  <si>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</si>
  <si>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</si>
  <si>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</si>
  <si>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</si>
  <si>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</si>
  <si>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</si>
  <si>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</si>
  <si>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</si>
  <si>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</si>
  <si>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</si>
  <si>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</si>
  <si>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</si>
  <si>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</si>
  <si>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</si>
  <si>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</si>
  <si>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</si>
  <si>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</si>
  <si>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</si>
  <si>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</si>
  <si>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</si>
  <si>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</si>
  <si>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</si>
  <si>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</si>
  <si>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</si>
  <si>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</si>
  <si>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</si>
  <si>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</si>
  <si>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</si>
  <si>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</si>
  <si>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</si>
  <si>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</si>
  <si>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</si>
  <si>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</si>
  <si>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</si>
  <si>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</si>
  <si>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</si>
  <si>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</si>
  <si>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</si>
  <si>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</si>
  <si>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</si>
  <si>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</si>
  <si>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</si>
  <si>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</si>
  <si>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</si>
  <si>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</si>
  <si>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</si>
  <si>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</si>
  <si>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</si>
  <si>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</si>
  <si>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</si>
  <si>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</si>
  <si>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</si>
  <si>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</si>
  <si>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</si>
  <si>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</si>
  <si>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</si>
  <si>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</si>
  <si>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</si>
  <si>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</si>
  <si>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</si>
  <si>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</si>
  <si>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</si>
  <si>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</si>
  <si>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</si>
  <si>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</si>
  <si>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</si>
  <si>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</si>
  <si>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</si>
  <si>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</si>
  <si>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</si>
  <si>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</si>
  <si>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</si>
  <si>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</si>
  <si>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</si>
  <si>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</si>
  <si>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</si>
  <si>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</si>
  <si>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</si>
  <si>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</si>
  <si>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</si>
  <si>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</si>
  <si>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</si>
  <si>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</si>
  <si>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</si>
  <si>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</si>
  <si>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</si>
  <si>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</si>
  <si>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</si>
  <si>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</si>
  <si>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</si>
  <si>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</si>
  <si>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</si>
  <si>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</si>
  <si>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</si>
  <si>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</si>
  <si>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</si>
  <si>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</si>
  <si>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</si>
  <si>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</si>
  <si>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</si>
  <si>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</si>
  <si>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</si>
  <si>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</si>
  <si>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</si>
  <si>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</si>
  <si>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</si>
  <si>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</si>
  <si>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</si>
  <si>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</si>
  <si>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</si>
  <si>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</si>
  <si>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</si>
  <si>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</si>
  <si>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</si>
  <si>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</si>
  <si>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</si>
  <si>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</si>
  <si>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</si>
  <si>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</si>
  <si>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</si>
  <si>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</si>
  <si>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</si>
  <si>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</si>
  <si>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</si>
  <si>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</si>
  <si>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</si>
  <si>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</si>
  <si>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</si>
  <si>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</si>
  <si>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</si>
  <si>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</si>
  <si>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</si>
  <si>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</si>
  <si>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</si>
  <si>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</si>
  <si>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</si>
  <si>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</si>
  <si>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</si>
  <si>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</si>
  <si>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</si>
  <si>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</si>
  <si>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</si>
  <si>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</si>
  <si>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</si>
  <si>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</si>
  <si>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</si>
  <si>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</si>
  <si>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</si>
  <si>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</si>
  <si>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</si>
  <si>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</si>
  <si>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</si>
  <si>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</si>
  <si>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</si>
  <si>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</si>
  <si>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</si>
  <si>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</si>
  <si>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</si>
  <si>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</si>
  <si>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</si>
  <si>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</si>
  <si>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</si>
  <si>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</si>
  <si>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</si>
  <si>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</si>
  <si>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</si>
  <si>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</si>
  <si>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</si>
  <si>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</si>
  <si>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</si>
  <si>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</si>
  <si>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</si>
  <si>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</si>
  <si>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</si>
  <si>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</si>
  <si>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</si>
  <si>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</si>
  <si>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</si>
  <si>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</si>
  <si>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</si>
  <si>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</si>
  <si>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</si>
  <si>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</si>
  <si>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</si>
  <si>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</si>
  <si>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</si>
  <si>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</si>
  <si>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</si>
  <si>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</si>
  <si>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</si>
  <si>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</si>
  <si>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</si>
  <si>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</si>
  <si>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</si>
  <si>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</si>
  <si>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</si>
  <si>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</si>
  <si>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</si>
  <si>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</si>
  <si>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</si>
  <si>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</si>
  <si>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</si>
  <si>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</si>
  <si>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</si>
  <si>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</si>
  <si>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</si>
  <si>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</si>
  <si>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</si>
  <si>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</si>
  <si>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</si>
  <si>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</si>
  <si>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</si>
  <si>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</si>
  <si>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</si>
  <si>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</si>
  <si>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</si>
  <si>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</si>
  <si>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</si>
  <si>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</si>
  <si>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</si>
  <si>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</si>
  <si>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</si>
  <si>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</si>
  <si>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</si>
  <si>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</si>
  <si>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</si>
  <si>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</si>
  <si>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</si>
  <si>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</si>
  <si>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</si>
  <si>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</si>
  <si>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</si>
  <si>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</si>
  <si>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</si>
  <si>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</si>
  <si>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</si>
  <si>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</si>
  <si>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</si>
  <si>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</si>
  <si>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</si>
  <si>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</si>
  <si>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</si>
  <si>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</si>
  <si>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</si>
  <si>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</si>
  <si>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</si>
  <si>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</si>
  <si>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</si>
  <si>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</si>
  <si>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</si>
  <si>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</si>
  <si>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</si>
  <si>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</si>
  <si>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</si>
  <si>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</si>
  <si>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</si>
  <si>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</si>
  <si>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</si>
  <si>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</si>
  <si>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</si>
  <si>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</si>
  <si>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</si>
  <si>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</si>
  <si>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</si>
  <si>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</si>
  <si>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</si>
  <si>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</si>
  <si>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</si>
  <si>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</si>
  <si>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</si>
  <si>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</si>
  <si>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</si>
  <si>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</si>
  <si>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</si>
  <si>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</si>
  <si>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</si>
  <si>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</si>
  <si>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</si>
  <si>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</si>
  <si>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</si>
  <si>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</si>
  <si>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</si>
  <si>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</si>
  <si>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</si>
  <si>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</si>
  <si>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</si>
  <si>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</si>
  <si>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</si>
  <si>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</si>
  <si>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</si>
  <si>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</si>
  <si>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</si>
  <si>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</si>
  <si>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</si>
  <si>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</si>
  <si>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</si>
  <si>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</si>
  <si>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</si>
  <si>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</si>
  <si>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</si>
  <si>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</si>
  <si>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</si>
  <si>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</si>
  <si>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</si>
  <si>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</si>
  <si>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</si>
  <si>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</si>
  <si>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</si>
  <si>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</si>
  <si>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</si>
  <si>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</si>
  <si>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</si>
  <si>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</si>
  <si>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</si>
  <si>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</si>
  <si>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</si>
  <si>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</si>
  <si>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</si>
  <si>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</si>
  <si>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</si>
  <si>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</si>
  <si>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</si>
  <si>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</si>
  <si>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</si>
  <si>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</si>
  <si>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</si>
  <si>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</si>
  <si>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</si>
  <si>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</si>
  <si>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</si>
  <si>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</si>
  <si>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</si>
  <si>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</si>
  <si>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</si>
  <si>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</si>
  <si>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</si>
  <si>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</si>
  <si>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</si>
  <si>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</si>
  <si>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</si>
  <si>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</si>
  <si>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</si>
  <si>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</si>
  <si>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</si>
  <si>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</si>
  <si>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</si>
  <si>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</si>
  <si>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</si>
  <si>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</si>
  <si>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</si>
  <si>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</si>
  <si>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</si>
  <si>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</si>
  <si>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</si>
  <si>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</si>
  <si>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</si>
  <si>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</si>
  <si>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</si>
  <si>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</si>
  <si>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</si>
  <si>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</si>
  <si>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</si>
  <si>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</si>
  <si>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</si>
  <si>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</si>
  <si>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</si>
  <si>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</si>
  <si>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</si>
  <si>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</si>
  <si>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</si>
  <si>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</si>
  <si>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</si>
  <si>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</si>
  <si>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</si>
  <si>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</si>
  <si>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</si>
  <si>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</si>
  <si>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</si>
  <si>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</si>
  <si>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</si>
  <si>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</si>
  <si>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</si>
  <si>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</si>
  <si>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</si>
  <si>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</si>
  <si>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</si>
  <si>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</si>
  <si>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</si>
  <si>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</si>
  <si>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</si>
  <si>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</si>
  <si>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</si>
  <si>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</si>
  <si>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</si>
  <si>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</si>
  <si>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</si>
  <si>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</si>
  <si>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</si>
  <si>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</si>
  <si>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</si>
  <si>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</si>
  <si>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</si>
  <si>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</si>
  <si>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</si>
  <si>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</si>
  <si>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</si>
  <si>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</si>
  <si>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</si>
  <si>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</si>
  <si>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</si>
  <si>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</si>
  <si>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</si>
  <si>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</si>
  <si>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</si>
  <si>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</si>
  <si>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</si>
  <si>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</si>
  <si>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</si>
  <si>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</si>
  <si>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</si>
  <si>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</si>
  <si>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</si>
  <si>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</si>
  <si>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</si>
  <si>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</si>
  <si>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</si>
  <si>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</si>
  <si>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</si>
  <si>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</si>
  <si>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</si>
  <si>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</si>
  <si>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</si>
  <si>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</si>
  <si>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</si>
  <si>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</si>
  <si>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</si>
  <si>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</si>
  <si>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</si>
  <si>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</si>
  <si>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</si>
  <si>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</si>
  <si>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</si>
  <si>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</si>
  <si>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</si>
  <si>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</si>
  <si>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</si>
  <si>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</si>
  <si>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</si>
  <si>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</si>
  <si>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</si>
  <si>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</si>
  <si>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</si>
  <si>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</si>
  <si>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</si>
  <si>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</si>
  <si>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</si>
  <si>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</si>
  <si>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</si>
  <si>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</si>
  <si>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</si>
  <si>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</si>
  <si>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</si>
  <si>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</si>
  <si>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</si>
  <si>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</si>
  <si>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</si>
  <si>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</si>
  <si>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</si>
  <si>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</si>
  <si>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</si>
  <si>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</si>
  <si>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</si>
  <si>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</si>
  <si>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</si>
  <si>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</si>
  <si>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</si>
  <si>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</si>
  <si>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</si>
  <si>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</si>
  <si>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</si>
  <si>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</si>
  <si>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</si>
  <si>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</si>
  <si>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</si>
  <si>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</si>
  <si>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</si>
  <si>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</si>
  <si>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</si>
  <si>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</si>
  <si>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</si>
  <si>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</si>
  <si>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</si>
  <si>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</si>
  <si>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</si>
  <si>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</si>
  <si>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</si>
  <si>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</si>
  <si>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</si>
  <si>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</si>
  <si>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</si>
  <si>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</si>
  <si>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</si>
  <si>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</si>
  <si>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</si>
  <si>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</si>
  <si>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</si>
  <si>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</si>
  <si>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</si>
  <si>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</si>
  <si>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</si>
  <si>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</si>
  <si>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</si>
  <si>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</si>
  <si>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</si>
  <si>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</si>
  <si>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</si>
  <si>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</si>
  <si>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</si>
  <si>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</si>
  <si>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</si>
  <si>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</si>
  <si>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</si>
  <si>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</si>
  <si>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</si>
  <si>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</si>
  <si>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</si>
  <si>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</si>
  <si>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</si>
  <si>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</si>
  <si>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</si>
  <si>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</si>
  <si>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</si>
  <si>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</si>
  <si>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</si>
  <si>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</si>
  <si>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</si>
  <si>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</si>
  <si>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</si>
  <si>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</si>
  <si>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</si>
  <si>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</si>
  <si>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</si>
  <si>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</si>
  <si>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</si>
  <si>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</si>
  <si>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</si>
  <si>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</si>
  <si>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</si>
  <si>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</si>
  <si>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</si>
  <si>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</si>
  <si>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</si>
  <si>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</si>
  <si>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</si>
  <si>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</si>
  <si>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</si>
  <si>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</si>
  <si>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</si>
  <si>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</si>
  <si>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</si>
  <si>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</si>
  <si>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</si>
  <si>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</si>
  <si>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</si>
  <si>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</si>
  <si>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</si>
  <si>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</si>
  <si>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</si>
  <si>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</si>
  <si>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</si>
  <si>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</si>
  <si>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</si>
  <si>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</si>
  <si>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</si>
  <si>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</si>
  <si>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</si>
  <si>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</si>
  <si>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</si>
  <si>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</si>
  <si>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</si>
  <si>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</si>
  <si>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</si>
  <si>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</si>
  <si>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</si>
  <si>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</si>
  <si>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</si>
  <si>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</si>
  <si>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</si>
  <si>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</si>
  <si>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</si>
  <si>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</si>
  <si>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</si>
  <si>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</si>
  <si>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</si>
  <si>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</si>
  <si>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</si>
  <si>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</si>
  <si>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</si>
  <si>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</si>
  <si>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</si>
  <si>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</si>
  <si>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</si>
  <si>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</si>
  <si>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</si>
  <si>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</si>
  <si>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</si>
  <si>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</si>
  <si>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</si>
  <si>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</si>
  <si>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</si>
  <si>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</si>
  <si>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</si>
  <si>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</si>
  <si>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</si>
  <si>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</si>
  <si>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</si>
  <si>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</si>
  <si>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</si>
  <si>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</si>
  <si>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</si>
  <si>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</si>
  <si>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</si>
  <si>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</si>
  <si>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</si>
  <si>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</si>
  <si>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</si>
  <si>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</si>
  <si>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</si>
  <si>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</si>
  <si>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</si>
  <si>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</si>
  <si>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</si>
  <si>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</si>
  <si>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</si>
  <si>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</si>
  <si>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</si>
  <si>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</si>
  <si>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</si>
  <si>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</si>
  <si>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</si>
  <si>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</si>
  <si>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</si>
  <si>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</si>
  <si>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</si>
  <si>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</si>
  <si>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</si>
  <si>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</si>
  <si>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</si>
  <si>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</si>
  <si>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</si>
  <si>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</si>
  <si>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</si>
  <si>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</si>
  <si>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</si>
  <si>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</si>
  <si>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</si>
  <si>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</si>
  <si>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</si>
  <si>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</si>
  <si>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</si>
  <si>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</si>
  <si>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</si>
  <si>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</si>
  <si>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</si>
  <si>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</si>
  <si>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</si>
  <si>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</si>
  <si>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</si>
  <si>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</si>
  <si>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</si>
  <si>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</si>
  <si>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</si>
  <si>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</si>
  <si>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</si>
  <si>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</si>
  <si>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</si>
  <si>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</si>
  <si>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</si>
  <si>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</si>
  <si>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</si>
  <si>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</si>
  <si>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</si>
  <si>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</si>
  <si>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</si>
  <si>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</si>
  <si>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</si>
  <si>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</si>
  <si>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</si>
  <si>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</si>
  <si>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</si>
  <si>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</si>
  <si>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</si>
  <si>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</si>
  <si>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</si>
  <si>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</si>
  <si>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</si>
  <si>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</si>
  <si>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</si>
  <si>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</si>
  <si>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</si>
  <si>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</si>
  <si>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</si>
  <si>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</si>
  <si>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</si>
  <si>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</si>
  <si>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</si>
  <si>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</si>
  <si>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</si>
  <si>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</si>
  <si>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</si>
  <si>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</si>
  <si>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</si>
  <si>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</si>
  <si>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</si>
  <si>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</si>
  <si>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</si>
  <si>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</si>
  <si>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</si>
  <si>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</si>
  <si>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</si>
  <si>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</si>
  <si>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</si>
  <si>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</si>
  <si>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</si>
  <si>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</si>
  <si>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</si>
  <si>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</si>
  <si>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</si>
  <si>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</si>
  <si>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</si>
  <si>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</si>
  <si>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</si>
  <si>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</si>
  <si>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</si>
  <si>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</si>
  <si>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</si>
  <si>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</si>
  <si>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</si>
  <si>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</si>
  <si>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</si>
  <si>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</si>
  <si>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</si>
  <si>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</si>
  <si>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</si>
  <si>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</si>
  <si>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</si>
  <si>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</si>
  <si>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</si>
  <si>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</si>
  <si>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</si>
  <si>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</si>
  <si>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</si>
  <si>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</si>
  <si>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</si>
  <si>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</si>
  <si>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</si>
  <si>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</si>
  <si>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</si>
  <si>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</si>
  <si>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</si>
  <si>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</si>
  <si>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</si>
  <si>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</si>
  <si>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</si>
  <si>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</si>
  <si>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</si>
  <si>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</si>
  <si>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</si>
  <si>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</si>
  <si>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</si>
  <si>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</si>
  <si>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</si>
  <si>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</si>
  <si>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</si>
  <si>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</si>
  <si>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</si>
  <si>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</si>
  <si>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</si>
  <si>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</si>
  <si>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</si>
  <si>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</si>
  <si>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</si>
  <si>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</si>
  <si>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</si>
  <si>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</si>
  <si>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</si>
  <si>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</si>
  <si>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</si>
  <si>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</si>
  <si>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</si>
  <si>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</si>
  <si>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</si>
  <si>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</si>
  <si>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</si>
  <si>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</si>
  <si>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</si>
  <si>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</si>
  <si>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</si>
  <si>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</si>
  <si>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</si>
  <si>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</si>
  <si>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</si>
  <si>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</si>
  <si>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</si>
  <si>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</si>
  <si>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</si>
  <si>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</si>
  <si>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</si>
  <si>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</si>
  <si>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</si>
  <si>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</si>
  <si>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</si>
  <si>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</si>
  <si>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</si>
  <si>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</si>
  <si>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</si>
  <si>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</si>
  <si>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</si>
  <si>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</si>
  <si>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</si>
  <si>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</si>
  <si>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</si>
  <si>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</si>
  <si>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</si>
  <si>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</si>
  <si>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</si>
  <si>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</si>
  <si>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</si>
  <si>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</si>
  <si>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</si>
  <si>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</si>
  <si>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</si>
  <si>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</si>
  <si>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</si>
  <si>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</si>
  <si>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</si>
  <si>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</si>
  <si>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</si>
  <si>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</si>
  <si>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</si>
  <si>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</si>
  <si>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</si>
  <si>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</si>
  <si>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</si>
  <si>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</si>
  <si>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</si>
  <si>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</si>
  <si>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</si>
  <si>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</si>
  <si>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</si>
  <si>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</si>
  <si>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</si>
  <si>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</si>
  <si>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</si>
  <si>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</si>
  <si>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</si>
  <si>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</si>
  <si>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</si>
  <si>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</si>
  <si>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</si>
  <si>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</si>
  <si>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</si>
  <si>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</si>
  <si>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</si>
  <si>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</si>
  <si>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</si>
  <si>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</si>
  <si>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</si>
  <si>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</si>
  <si>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</si>
  <si>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</si>
  <si>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</si>
  <si>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</si>
  <si>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</si>
  <si>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</si>
  <si>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</si>
  <si>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</si>
  <si>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</si>
  <si>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</si>
  <si>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</si>
  <si>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</si>
  <si>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</si>
  <si>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</si>
  <si>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</si>
  <si>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</si>
  <si>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</si>
  <si>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</si>
  <si>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</si>
  <si>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</si>
  <si>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</si>
  <si>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</si>
  <si>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</si>
  <si>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</si>
  <si>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</si>
  <si>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</si>
  <si>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</si>
  <si>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</si>
  <si>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</si>
  <si>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</si>
  <si>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</si>
  <si>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</si>
  <si>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</si>
  <si>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</si>
  <si>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</si>
  <si>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</si>
  <si>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</si>
  <si>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</si>
  <si>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</si>
  <si>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</si>
  <si>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</si>
  <si>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</si>
  <si>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</si>
  <si>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</si>
  <si>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</si>
  <si>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</si>
  <si>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</si>
  <si>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</si>
  <si>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</si>
  <si>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</si>
  <si>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</si>
  <si>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</si>
  <si>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</si>
  <si>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</si>
  <si>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</si>
  <si>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</si>
  <si>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</si>
  <si>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</si>
  <si>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</si>
  <si>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</si>
  <si>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</si>
  <si>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</si>
  <si>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</si>
  <si>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</si>
  <si>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</si>
  <si>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</si>
  <si>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</si>
  <si>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</si>
  <si>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</si>
  <si>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</si>
  <si>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</si>
  <si>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</si>
  <si>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</si>
  <si>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</si>
  <si>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</si>
  <si>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</si>
  <si>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</si>
  <si>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</si>
  <si>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</si>
  <si>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</si>
  <si>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</si>
  <si>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</si>
  <si>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</si>
  <si>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</si>
  <si>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</si>
  <si>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</si>
  <si>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</si>
  <si>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</si>
  <si>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</si>
  <si>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</si>
  <si>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</si>
  <si>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</si>
  <si>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</si>
  <si>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</si>
  <si>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</si>
  <si>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</si>
  <si>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</si>
  <si>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</si>
  <si>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</si>
  <si>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</si>
  <si>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</si>
  <si>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</si>
  <si>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</si>
  <si>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</si>
  <si>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</si>
  <si>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</si>
  <si>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</si>
  <si>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</si>
  <si>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</si>
  <si>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</si>
  <si>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</si>
  <si>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</si>
  <si>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</si>
  <si>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</si>
  <si>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</si>
  <si>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</si>
  <si>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</si>
  <si>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</si>
  <si>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</si>
  <si>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</si>
  <si>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</si>
  <si>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</si>
  <si>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</si>
  <si>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</si>
  <si>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</si>
  <si>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</si>
  <si>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</si>
  <si>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</si>
  <si>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</si>
  <si>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</si>
  <si>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</si>
  <si>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</si>
  <si>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</si>
  <si>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</si>
  <si>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</si>
  <si>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</si>
  <si>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</si>
  <si>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</si>
  <si>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</si>
  <si>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</si>
  <si>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</si>
  <si>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</si>
  <si>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</si>
  <si>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</si>
  <si>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</si>
  <si>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</si>
  <si>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</si>
  <si>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</si>
  <si>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</si>
  <si>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</si>
  <si>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</si>
  <si>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</si>
  <si>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</si>
  <si>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</si>
  <si>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</si>
  <si>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</si>
  <si>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</si>
  <si>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</si>
  <si>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</si>
  <si>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</si>
  <si>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</si>
  <si>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</si>
  <si>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</si>
  <si>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</si>
  <si>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</si>
  <si>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</si>
  <si>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</si>
  <si>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</si>
  <si>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</si>
  <si>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</si>
  <si>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</si>
  <si>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</si>
  <si>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</si>
  <si>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</si>
  <si>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</si>
  <si>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</si>
  <si>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</si>
  <si>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</si>
  <si>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</si>
  <si>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</si>
  <si>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</si>
  <si>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</si>
  <si>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</si>
  <si>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</si>
  <si>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</si>
  <si>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</si>
  <si>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</si>
  <si>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</si>
  <si>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</si>
  <si>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</si>
  <si>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</si>
  <si>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</si>
  <si>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</si>
  <si>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</si>
  <si>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</si>
  <si>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</si>
  <si>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</si>
  <si>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</si>
  <si>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</si>
  <si>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</si>
  <si>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</si>
  <si>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</si>
  <si>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</si>
  <si>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</si>
  <si>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</si>
  <si>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</si>
  <si>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</si>
  <si>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</si>
  <si>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</si>
  <si>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</si>
  <si>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</si>
  <si>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</si>
  <si>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</si>
  <si>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</si>
  <si>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</si>
  <si>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</si>
  <si>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</si>
  <si>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</si>
  <si>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</si>
  <si>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</si>
  <si>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</si>
  <si>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</si>
  <si>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</si>
  <si>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</si>
  <si>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</si>
  <si>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</si>
  <si>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</si>
  <si>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</si>
  <si>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</si>
  <si>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</si>
  <si>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</si>
  <si>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</si>
  <si>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</si>
  <si>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</si>
  <si>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</si>
  <si>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</si>
  <si>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</si>
  <si>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</si>
  <si>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</si>
  <si>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</si>
  <si>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</si>
  <si>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</si>
  <si>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</si>
  <si>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</si>
  <si>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</si>
  <si>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</si>
  <si>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</si>
  <si>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</si>
  <si>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</si>
  <si>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</si>
  <si>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</si>
  <si>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</si>
  <si>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</si>
  <si>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</si>
  <si>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</si>
  <si>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</si>
  <si>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</si>
  <si>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</si>
  <si>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</si>
  <si>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</si>
  <si>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</si>
  <si>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</si>
  <si>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</si>
  <si>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</si>
  <si>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</si>
  <si>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</si>
  <si>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</si>
  <si>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</si>
  <si>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</si>
  <si>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</si>
  <si>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</si>
  <si>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</si>
  <si>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</si>
  <si>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</si>
  <si>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</si>
  <si>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</si>
  <si>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</si>
  <si>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</si>
  <si>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</si>
  <si>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</si>
  <si>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</si>
  <si>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</si>
  <si>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</si>
  <si>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</si>
  <si>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</si>
  <si>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</si>
  <si>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</si>
  <si>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</si>
  <si>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</si>
  <si>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</si>
  <si>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</si>
  <si>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</si>
  <si>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</si>
  <si>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</si>
  <si>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</si>
  <si>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</si>
  <si>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</si>
  <si>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</si>
  <si>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</si>
  <si>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</si>
  <si>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</si>
  <si>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</si>
  <si>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</si>
  <si>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</si>
  <si>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</si>
  <si>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</si>
  <si>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</si>
  <si>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</si>
  <si>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</si>
  <si>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</si>
  <si>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</si>
  <si>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</si>
  <si>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</si>
  <si>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</si>
  <si>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</si>
  <si>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</si>
  <si>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</si>
  <si>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</si>
  <si>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</si>
  <si>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</si>
  <si>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</si>
  <si>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</si>
  <si>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</si>
  <si>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</si>
  <si>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</si>
  <si>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</si>
  <si>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</si>
  <si>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</si>
  <si>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</si>
  <si>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</si>
  <si>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</si>
  <si>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</si>
  <si>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</si>
  <si>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</si>
  <si>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</si>
  <si>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</si>
  <si>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</si>
  <si>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</si>
  <si>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</si>
  <si>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</si>
  <si>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</si>
  <si>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</si>
  <si>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</si>
  <si>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</si>
  <si>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</si>
  <si>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</si>
  <si>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</si>
  <si>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</si>
  <si>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</si>
  <si>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</si>
  <si>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</si>
  <si>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</si>
  <si>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</si>
  <si>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</si>
  <si>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</si>
  <si>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</si>
  <si>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</si>
  <si>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</si>
  <si>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</si>
  <si>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</si>
  <si>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</si>
  <si>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</si>
  <si>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</si>
  <si>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</si>
  <si>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</si>
  <si>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</si>
  <si>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</si>
  <si>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</si>
  <si>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</si>
  <si>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</si>
  <si>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</si>
  <si>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</si>
  <si>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</si>
  <si>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</si>
  <si>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</si>
  <si>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</si>
  <si>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</si>
  <si>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</si>
  <si>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</si>
  <si>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</si>
  <si>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</si>
  <si>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</si>
  <si>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</si>
  <si>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</si>
  <si>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</si>
  <si>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</si>
  <si>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</si>
  <si>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</si>
  <si>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</si>
  <si>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</si>
  <si>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</si>
  <si>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</si>
  <si>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</si>
  <si>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</si>
  <si>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</si>
  <si>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</si>
  <si>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</si>
  <si>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</si>
  <si>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</si>
  <si>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</si>
  <si>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</si>
  <si>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</si>
  <si>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</si>
  <si>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</si>
  <si>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</si>
  <si>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</si>
  <si>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</si>
  <si>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</si>
  <si>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</si>
  <si>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</si>
  <si>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</si>
  <si>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</si>
  <si>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</si>
  <si>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</si>
  <si>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</si>
  <si>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</si>
  <si>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</si>
  <si>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</si>
  <si>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</si>
  <si>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</si>
  <si>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</si>
  <si>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</si>
  <si>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</si>
  <si>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</si>
  <si>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</si>
  <si>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</si>
  <si>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</si>
  <si>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</si>
  <si>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</si>
  <si>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</si>
  <si>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</si>
  <si>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</si>
  <si>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</si>
  <si>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</si>
  <si>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</si>
  <si>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</si>
  <si>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</si>
  <si>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</si>
  <si>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</si>
  <si>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</si>
  <si>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</si>
  <si>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</si>
  <si>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</si>
  <si>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</si>
  <si>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</si>
  <si>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</si>
  <si>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</si>
  <si>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</si>
  <si>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</si>
  <si>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</si>
  <si>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</si>
  <si>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</si>
  <si>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</si>
  <si>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</si>
  <si>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</si>
  <si>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</si>
  <si>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</si>
  <si>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</si>
  <si>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</si>
  <si>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</si>
  <si>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</si>
  <si>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</si>
  <si>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</si>
  <si>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</si>
  <si>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</si>
  <si>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</si>
  <si>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</si>
  <si>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</si>
  <si>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</si>
  <si>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</si>
  <si>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</si>
  <si>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</si>
  <si>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</si>
  <si>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</si>
  <si>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</si>
  <si>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</si>
  <si>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</si>
  <si>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</si>
  <si>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</si>
  <si>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</si>
  <si>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</si>
  <si>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</si>
  <si>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</si>
  <si>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</si>
  <si>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</si>
  <si>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</si>
  <si>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</si>
  <si>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</si>
  <si>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</si>
  <si>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</si>
  <si>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</si>
  <si>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</si>
  <si>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</si>
  <si>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</si>
  <si>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</si>
  <si>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</si>
  <si>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</si>
  <si>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</si>
  <si>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</si>
  <si>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</si>
  <si>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</si>
  <si>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</si>
  <si>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</si>
  <si>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</si>
  <si>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</si>
  <si>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</si>
  <si>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</si>
  <si>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</si>
  <si>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</si>
  <si>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</si>
  <si>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</si>
  <si>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</si>
  <si>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</si>
  <si>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</si>
  <si>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</si>
  <si>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</si>
  <si>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</si>
  <si>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</si>
  <si>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</si>
  <si>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</si>
  <si>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</si>
  <si>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</si>
  <si>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</si>
  <si>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</si>
  <si>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</si>
  <si>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</si>
  <si>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</si>
  <si>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</si>
  <si>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</si>
  <si>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</si>
  <si>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</si>
  <si>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</si>
  <si>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</si>
  <si>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</si>
  <si>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</si>
  <si>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</si>
  <si>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</si>
  <si>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</si>
  <si>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</si>
  <si>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</si>
  <si>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</si>
  <si>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</si>
  <si>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</si>
  <si>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</si>
  <si>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</si>
  <si>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</si>
  <si>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</si>
  <si>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</si>
  <si>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</si>
  <si>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</si>
  <si>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</si>
  <si>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</si>
  <si>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</si>
  <si>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</si>
  <si>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</si>
  <si>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</si>
  <si>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</si>
  <si>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</si>
  <si>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</si>
  <si>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</si>
  <si>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</si>
  <si>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</si>
  <si>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</si>
  <si>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</si>
  <si>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</si>
  <si>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</si>
  <si>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</si>
  <si>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</si>
  <si>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</si>
  <si>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</si>
  <si>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</si>
  <si>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</si>
  <si>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</si>
  <si>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</si>
  <si>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</si>
  <si>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</si>
  <si>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</si>
  <si>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</si>
  <si>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</si>
  <si>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</si>
  <si>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</si>
  <si>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</si>
  <si>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</si>
  <si>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</si>
  <si>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</si>
  <si>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</si>
  <si>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</si>
  <si>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</si>
  <si>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</si>
  <si>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</si>
  <si>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</si>
  <si>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</si>
  <si>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</si>
  <si>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</si>
  <si>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</si>
  <si>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</si>
  <si>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</si>
  <si>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</si>
  <si>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</si>
  <si>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</si>
  <si>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</si>
  <si>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</si>
  <si>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</si>
  <si>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</si>
  <si>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</si>
  <si>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</si>
  <si>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</si>
  <si>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</si>
  <si>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</si>
  <si>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</si>
  <si>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</si>
  <si>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</si>
  <si>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</si>
  <si>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</si>
  <si>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</si>
  <si>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</si>
  <si>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</si>
  <si>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</si>
  <si>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</si>
  <si>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</si>
  <si>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</si>
  <si>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</si>
  <si>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</si>
  <si>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</si>
  <si>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</si>
  <si>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</si>
  <si>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</si>
  <si>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</si>
  <si>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</si>
  <si>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</si>
  <si>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</si>
  <si>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</si>
  <si>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</si>
  <si>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</si>
  <si>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</si>
  <si>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</si>
  <si>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</si>
  <si>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</si>
  <si>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</si>
  <si>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</si>
  <si>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</si>
  <si>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</si>
  <si>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</si>
  <si>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</si>
  <si>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</si>
  <si>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</si>
  <si>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</si>
  <si>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</si>
  <si>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</si>
  <si>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</si>
  <si>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</si>
  <si>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</si>
  <si>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</si>
  <si>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</si>
  <si>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</si>
  <si>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</si>
  <si>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</si>
  <si>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</si>
  <si>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</si>
  <si>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</si>
  <si>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</si>
  <si>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</si>
  <si>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</si>
  <si>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</si>
  <si>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</si>
  <si>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</si>
  <si>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</si>
  <si>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</si>
  <si>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</si>
  <si>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</si>
  <si>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</si>
  <si>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</si>
  <si>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</si>
  <si>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</si>
  <si>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</si>
  <si>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</si>
  <si>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</si>
  <si>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</si>
  <si>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</si>
  <si>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</si>
  <si>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</si>
  <si>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</si>
  <si>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</si>
  <si>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</si>
  <si>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</si>
  <si>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</si>
  <si>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</si>
  <si>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</si>
  <si>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</si>
  <si>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</si>
  <si>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</si>
  <si>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</si>
  <si>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</si>
  <si>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</si>
  <si>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</si>
  <si>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</si>
  <si>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</si>
  <si>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</si>
  <si>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</si>
  <si>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</si>
  <si>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</si>
  <si>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</si>
  <si>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</si>
  <si>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</si>
  <si>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</si>
  <si>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</si>
  <si>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</si>
  <si>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</si>
  <si>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</si>
  <si>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</si>
  <si>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</si>
  <si>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</si>
  <si>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</si>
  <si>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</si>
  <si>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</si>
  <si>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</si>
  <si>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</si>
  <si>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</si>
  <si>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</si>
  <si>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</si>
  <si>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</si>
  <si>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</si>
  <si>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</si>
  <si>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</si>
  <si>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</si>
  <si>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</si>
  <si>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</si>
  <si>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</si>
  <si>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</si>
  <si>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</si>
  <si>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</si>
  <si>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</si>
  <si>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</si>
  <si>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</si>
  <si>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</si>
  <si>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</si>
  <si>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</si>
  <si>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</si>
  <si>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</si>
  <si>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</si>
  <si>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</si>
  <si>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</si>
  <si>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</si>
  <si>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</si>
  <si>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</si>
  <si>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</si>
  <si>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</si>
  <si>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</si>
  <si>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</si>
  <si>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</si>
  <si>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</si>
  <si>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</si>
  <si>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</si>
  <si>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</si>
  <si>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</si>
  <si>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</si>
  <si>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</si>
  <si>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</si>
  <si>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</si>
  <si>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</si>
  <si>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</si>
  <si>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</si>
  <si>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</si>
  <si>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</si>
  <si>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</si>
  <si>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</si>
  <si>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</si>
  <si>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</si>
  <si>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</si>
  <si>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</si>
  <si>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</si>
  <si>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</si>
  <si>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</si>
  <si>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</si>
  <si>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</si>
  <si>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</si>
  <si>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</si>
  <si>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</si>
  <si>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</si>
  <si>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</si>
  <si>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</si>
  <si>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</si>
  <si>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</si>
  <si>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</si>
  <si>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</si>
  <si>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</si>
  <si>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</si>
  <si>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</si>
  <si>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</si>
  <si>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</si>
  <si>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</si>
  <si>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</si>
  <si>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</si>
  <si>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</si>
  <si>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</si>
  <si>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</si>
  <si>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</si>
  <si>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</si>
  <si>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</si>
  <si>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</si>
  <si>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</si>
  <si>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</si>
  <si>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</si>
  <si>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</si>
  <si>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</si>
  <si>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</si>
  <si>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</si>
  <si>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</si>
  <si>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</si>
  <si>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</si>
  <si>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</si>
  <si>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</si>
  <si>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</si>
  <si>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</si>
  <si>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</si>
  <si>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</si>
  <si>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</si>
  <si>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</si>
  <si>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</si>
  <si>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</si>
  <si>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</si>
  <si>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</si>
  <si>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</si>
  <si>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</si>
  <si>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</si>
  <si>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</si>
  <si>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</si>
  <si>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</si>
  <si>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</si>
  <si>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</si>
  <si>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</si>
  <si>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</si>
  <si>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</si>
  <si>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</si>
  <si>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</si>
  <si>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</si>
  <si>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</si>
  <si>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</si>
  <si>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</si>
  <si>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</si>
  <si>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</si>
  <si>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</si>
  <si>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</si>
  <si>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</si>
  <si>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</si>
  <si>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</si>
  <si>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</si>
  <si>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</si>
  <si>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</si>
  <si>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</si>
  <si>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</si>
  <si>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</si>
  <si>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</si>
  <si>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</si>
  <si>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</si>
  <si>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</si>
  <si>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</si>
  <si>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</si>
  <si>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</si>
  <si>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</si>
  <si>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</si>
  <si>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</si>
  <si>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</si>
  <si>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</si>
  <si>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</si>
  <si>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</si>
  <si>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</si>
  <si>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</si>
  <si>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</si>
  <si>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</si>
  <si>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</si>
  <si>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</si>
  <si>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</si>
  <si>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</si>
  <si>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</si>
  <si>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</si>
  <si>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</si>
  <si>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</si>
  <si>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</si>
  <si>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</si>
  <si>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</si>
  <si>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</si>
  <si>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</si>
  <si>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</si>
  <si>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</si>
  <si>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</si>
  <si>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</si>
  <si>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</si>
  <si>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</si>
  <si>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</si>
  <si>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</si>
  <si>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</si>
  <si>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</si>
  <si>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</si>
  <si>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</si>
  <si>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</si>
  <si>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</si>
  <si>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</si>
  <si>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</si>
  <si>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</si>
  <si>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</si>
  <si>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</si>
  <si>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</si>
  <si>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</si>
  <si>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</si>
  <si>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</si>
  <si>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</si>
  <si>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</si>
  <si>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</si>
  <si>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</si>
  <si>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</si>
  <si>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</si>
  <si>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</si>
  <si>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</si>
  <si>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</si>
  <si>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</si>
  <si>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</si>
  <si>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</si>
  <si>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</si>
  <si>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</si>
  <si>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</si>
  <si>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</si>
  <si>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</si>
  <si>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</si>
  <si>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</si>
  <si>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</si>
  <si>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</si>
  <si>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</si>
  <si>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</si>
  <si>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</si>
  <si>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</si>
  <si>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</si>
  <si>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</si>
  <si>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</si>
  <si>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</si>
  <si>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</si>
  <si>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</si>
  <si>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</si>
  <si>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</si>
  <si>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</si>
  <si>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</si>
  <si>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</si>
  <si>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</si>
  <si>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</si>
  <si>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</si>
  <si>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</si>
  <si>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</si>
  <si>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</si>
  <si>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</si>
  <si>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</si>
  <si>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</si>
  <si>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</si>
  <si>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</si>
  <si>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</si>
  <si>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</si>
  <si>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</si>
  <si>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</si>
  <si>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</si>
  <si>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</si>
  <si>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</si>
  <si>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</si>
  <si>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</si>
  <si>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</si>
  <si>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</si>
  <si>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</si>
  <si>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</si>
  <si>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</si>
  <si>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</si>
  <si>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</si>
  <si>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</si>
  <si>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</si>
  <si>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</si>
  <si>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</si>
  <si>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</si>
  <si>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</si>
  <si>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</si>
  <si>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</si>
  <si>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</si>
  <si>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</si>
  <si>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</si>
  <si>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</si>
  <si>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</si>
  <si>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</si>
  <si>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</si>
  <si>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</si>
  <si>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</si>
  <si>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</si>
  <si>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</si>
  <si>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</si>
  <si>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</si>
  <si>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</si>
  <si>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</si>
  <si>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</si>
  <si>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</si>
  <si>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</si>
  <si>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</si>
  <si>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</si>
  <si>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</si>
  <si>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</si>
  <si>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</si>
  <si>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</si>
  <si>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</si>
  <si>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</si>
  <si>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</si>
  <si>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</si>
  <si>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</si>
  <si>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</si>
  <si>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</si>
  <si>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</si>
  <si>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</si>
  <si>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</si>
  <si>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</si>
  <si>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</si>
  <si>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</si>
  <si>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</si>
  <si>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</si>
  <si>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</si>
  <si>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</si>
  <si>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</si>
  <si>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</si>
  <si>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</si>
  <si>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</si>
  <si>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</si>
  <si>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</si>
  <si>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</si>
  <si>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</si>
  <si>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</si>
  <si>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</si>
  <si>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</si>
  <si>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</si>
  <si>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</si>
  <si>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</si>
  <si>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</si>
  <si>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</si>
  <si>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</si>
  <si>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</si>
  <si>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</si>
  <si>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</si>
  <si>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</si>
  <si>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</si>
  <si>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</si>
  <si>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</si>
  <si>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</si>
  <si>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</si>
  <si>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</si>
  <si>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</si>
  <si>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</si>
  <si>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</si>
  <si>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</si>
  <si>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</si>
  <si>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</si>
  <si>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</si>
  <si>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</si>
  <si>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</si>
  <si>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</si>
  <si>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</si>
  <si>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</si>
  <si>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</si>
  <si>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</si>
  <si>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</si>
  <si>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</si>
  <si>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</si>
  <si>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</si>
  <si>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</si>
  <si>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</si>
  <si>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</si>
  <si>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</si>
  <si>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</si>
  <si>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</si>
  <si>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</si>
  <si>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</si>
  <si>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</si>
  <si>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</si>
  <si>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</si>
  <si>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</si>
  <si>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</si>
  <si>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</si>
  <si>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</si>
  <si>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</si>
  <si>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</si>
  <si>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</si>
  <si>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</si>
  <si>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</si>
  <si>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</si>
  <si>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</si>
  <si>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</si>
  <si>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</si>
  <si>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</si>
  <si>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</si>
  <si>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</si>
  <si>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</si>
  <si>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</si>
  <si>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</si>
  <si>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</si>
  <si>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</si>
  <si>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</si>
  <si>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</si>
  <si>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</si>
  <si>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</si>
  <si>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</si>
  <si>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</si>
  <si>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</si>
  <si>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</si>
  <si>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</si>
  <si>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</si>
  <si>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</si>
  <si>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</si>
  <si>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</si>
  <si>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</si>
  <si>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</si>
  <si>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</si>
  <si>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</si>
  <si>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</si>
  <si>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</si>
  <si>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</si>
  <si>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</si>
  <si>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</si>
  <si>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</si>
  <si>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</si>
  <si>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</si>
  <si>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</si>
  <si>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</si>
  <si>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</si>
  <si>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</si>
  <si>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</si>
  <si>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</si>
  <si>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</si>
  <si>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</si>
  <si>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</si>
  <si>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</si>
  <si>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</si>
  <si>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</si>
  <si>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</si>
  <si>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</si>
  <si>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</si>
  <si>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</si>
  <si>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</si>
  <si>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</si>
  <si>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</si>
  <si>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</si>
  <si>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</si>
  <si>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</si>
  <si>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</si>
  <si>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</si>
  <si>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</si>
  <si>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</si>
  <si>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</si>
  <si>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</si>
  <si>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</si>
  <si>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</si>
  <si>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</si>
  <si>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</si>
  <si>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</si>
  <si>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</si>
  <si>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</si>
  <si>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</si>
  <si>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</si>
  <si>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</si>
  <si>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</si>
  <si>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</si>
  <si>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</si>
  <si>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</si>
  <si>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</si>
  <si>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</si>
  <si>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</si>
  <si>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</si>
  <si>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</si>
  <si>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</si>
  <si>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</si>
  <si>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</si>
  <si>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</si>
  <si>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</si>
  <si>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</si>
  <si>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</si>
  <si>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</si>
  <si>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</si>
  <si>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</si>
  <si>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</si>
  <si>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</si>
  <si>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</si>
  <si>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</si>
  <si>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</si>
  <si>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</si>
  <si>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</si>
  <si>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</si>
  <si>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</si>
  <si>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</si>
  <si>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</si>
  <si>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</si>
  <si>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</si>
  <si>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</si>
  <si>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</si>
  <si>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</si>
  <si>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</si>
  <si>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</si>
  <si>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</si>
  <si>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</si>
  <si>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</si>
  <si>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</si>
  <si>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</si>
  <si>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</si>
  <si>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</si>
  <si>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</si>
  <si>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</si>
  <si>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</si>
  <si>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</si>
  <si>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</si>
  <si>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</si>
  <si>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</si>
  <si>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</si>
  <si>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</si>
  <si>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</si>
  <si>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</si>
  <si>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</si>
  <si>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</si>
  <si>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</si>
  <si>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</si>
  <si>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</si>
  <si>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</si>
  <si>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</si>
  <si>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</si>
  <si>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</si>
  <si>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</si>
  <si>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</si>
  <si>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</si>
  <si>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</si>
  <si>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</si>
  <si>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</si>
  <si>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</si>
  <si>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</si>
  <si>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</si>
  <si>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</si>
  <si>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</si>
  <si>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</si>
  <si>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</si>
  <si>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</si>
  <si>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</si>
  <si>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</si>
  <si>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</si>
  <si>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</si>
  <si>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</si>
  <si>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</si>
  <si>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</si>
  <si>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</si>
  <si>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</si>
  <si>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</si>
  <si>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</si>
  <si>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</si>
  <si>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</si>
  <si>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</si>
  <si>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</si>
  <si>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</si>
  <si>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</si>
  <si>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</si>
  <si>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</si>
  <si>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</si>
  <si>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</si>
  <si>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</si>
  <si>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</si>
  <si>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</si>
  <si>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</si>
  <si>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</si>
  <si>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</si>
  <si>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</si>
  <si>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</si>
  <si>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</si>
  <si>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</si>
  <si>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</si>
  <si>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</si>
  <si>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</si>
  <si>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</si>
  <si>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</si>
  <si>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</si>
  <si>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</si>
  <si>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</si>
  <si>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</si>
  <si>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</si>
  <si>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</si>
  <si>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</si>
  <si>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</si>
  <si>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</si>
  <si>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</si>
  <si>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</si>
  <si>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</si>
  <si>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</si>
  <si>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</si>
  <si>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</si>
  <si>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</si>
  <si>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</si>
  <si>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</si>
  <si>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</si>
  <si>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</si>
  <si>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</si>
  <si>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</si>
  <si>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</si>
  <si>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</si>
  <si>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</si>
  <si>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</si>
  <si>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</si>
  <si>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</si>
  <si>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</si>
  <si>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</si>
  <si>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</si>
  <si>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</si>
  <si>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</si>
  <si>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</si>
  <si>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</si>
  <si>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</si>
  <si>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</si>
  <si>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</si>
  <si>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</si>
  <si>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</si>
  <si>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</si>
  <si>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</si>
  <si>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</si>
  <si>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</si>
  <si>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</si>
  <si>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</si>
  <si>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</si>
  <si>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</si>
  <si>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</si>
  <si>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</si>
  <si>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</si>
  <si>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</si>
  <si>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</si>
  <si>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</si>
  <si>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</si>
  <si>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</si>
  <si>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</si>
  <si>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</si>
  <si>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</si>
  <si>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</si>
  <si>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</si>
  <si>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</si>
  <si>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</si>
  <si>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</si>
  <si>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</si>
  <si>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</si>
  <si>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</si>
  <si>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</si>
  <si>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</si>
  <si>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</si>
  <si>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</si>
  <si>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</si>
  <si>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</si>
  <si>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</si>
  <si>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</si>
  <si>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</si>
  <si>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</si>
  <si>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</si>
  <si>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</si>
  <si>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</si>
  <si>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</si>
  <si>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</si>
  <si>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</si>
  <si>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</si>
  <si>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</si>
  <si>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</si>
  <si>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</si>
  <si>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</si>
  <si>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</si>
  <si>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</si>
  <si>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</si>
  <si>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</si>
  <si>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</si>
  <si>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</si>
  <si>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</si>
  <si>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</si>
  <si>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</si>
  <si>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</si>
  <si>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</si>
  <si>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</si>
  <si>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</si>
  <si>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</si>
  <si>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</si>
  <si>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</si>
  <si>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</si>
  <si>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</si>
  <si>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</si>
  <si>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</si>
  <si>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</si>
  <si>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</si>
  <si>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</si>
  <si>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</si>
  <si>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</si>
  <si>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</si>
  <si>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</si>
  <si>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</si>
  <si>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</si>
  <si>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</si>
  <si>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</si>
  <si>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</si>
  <si>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</si>
  <si>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</si>
  <si>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</si>
  <si>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</si>
  <si>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</si>
  <si>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</si>
  <si>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</si>
  <si>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</si>
  <si>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</si>
  <si>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</si>
  <si>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</si>
  <si>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</si>
  <si>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</si>
  <si>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</si>
  <si>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</si>
  <si>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</si>
  <si>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</si>
  <si>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</si>
  <si>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</si>
  <si>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</si>
  <si>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</si>
  <si>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</si>
  <si>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</si>
  <si>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</si>
  <si>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</si>
  <si>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</si>
  <si>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</si>
  <si>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</si>
  <si>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</si>
  <si>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</si>
  <si>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</si>
  <si>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</si>
  <si>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</si>
  <si>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</si>
  <si>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</si>
  <si>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</si>
  <si>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</si>
  <si>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</si>
  <si>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</si>
  <si>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</si>
  <si>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</si>
  <si>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</si>
  <si>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</si>
  <si>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</si>
  <si>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</si>
  <si>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</si>
  <si>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</si>
  <si>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</si>
  <si>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</si>
  <si>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</si>
  <si>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</si>
  <si>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</si>
  <si>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</si>
  <si>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</si>
  <si>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</si>
  <si>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</si>
  <si>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</si>
  <si>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</si>
  <si>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</si>
  <si>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</si>
  <si>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</si>
  <si>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</si>
  <si>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</si>
  <si>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</si>
  <si>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</si>
  <si>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</si>
  <si>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</si>
  <si>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</si>
  <si>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</si>
  <si>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</si>
  <si>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</si>
  <si>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</si>
  <si>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</si>
  <si>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</si>
  <si>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</si>
  <si>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</si>
  <si>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</si>
  <si>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</si>
  <si>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</si>
  <si>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</si>
  <si>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</si>
  <si>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</si>
  <si>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</si>
  <si>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</si>
  <si>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</si>
  <si>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</si>
  <si>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</si>
  <si>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</si>
  <si>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</si>
  <si>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</si>
  <si>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</si>
  <si>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</si>
  <si>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</si>
  <si>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</si>
  <si>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</si>
  <si>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</si>
  <si>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</si>
  <si>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</si>
  <si>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</si>
  <si>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</si>
  <si>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</si>
  <si>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</si>
  <si>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</si>
  <si>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</si>
  <si>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</si>
  <si>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</si>
  <si>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</si>
  <si>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</si>
  <si>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</si>
  <si>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</si>
  <si>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</si>
  <si>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</si>
  <si>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</si>
  <si>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</si>
  <si>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</si>
  <si>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</si>
  <si>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</si>
  <si>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</si>
  <si>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</si>
  <si>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</si>
  <si>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</si>
  <si>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</si>
  <si>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</si>
  <si>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</si>
  <si>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</si>
  <si>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</si>
  <si>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</si>
  <si>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</si>
  <si>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</si>
  <si>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</si>
  <si>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</si>
  <si>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</si>
  <si>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</si>
  <si>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</si>
  <si>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</si>
  <si>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</si>
  <si>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</si>
  <si>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</si>
  <si>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</si>
  <si>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</si>
  <si>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</si>
  <si>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</si>
  <si>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</si>
  <si>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</si>
  <si>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</si>
  <si>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</si>
  <si>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</si>
  <si>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</si>
  <si>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</si>
  <si>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</si>
  <si>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</si>
  <si>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</si>
  <si>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</si>
  <si>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</si>
  <si>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</si>
  <si>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</si>
  <si>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</si>
  <si>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</si>
  <si>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</si>
  <si>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</si>
  <si>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</si>
  <si>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</si>
  <si>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</si>
  <si>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</si>
  <si>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</si>
  <si>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</si>
  <si>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</si>
  <si>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</si>
  <si>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</si>
  <si>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</si>
  <si>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</si>
  <si>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</si>
  <si>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</si>
  <si>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</si>
  <si>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</si>
  <si>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</si>
  <si>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</si>
  <si>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</si>
  <si>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</si>
  <si>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</si>
  <si>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</si>
  <si>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</si>
  <si>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</si>
  <si>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</si>
  <si>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</si>
  <si>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</si>
  <si>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</si>
  <si>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</si>
  <si>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</si>
  <si>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</si>
  <si>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</si>
  <si>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</si>
  <si>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</si>
  <si>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</si>
  <si>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</si>
  <si>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</si>
  <si>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</si>
  <si>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</si>
  <si>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</si>
  <si>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</si>
  <si>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</si>
  <si>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</si>
  <si>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</si>
  <si>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</si>
  <si>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</si>
  <si>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</si>
  <si>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</si>
  <si>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</si>
  <si>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</si>
  <si>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</si>
  <si>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</si>
  <si>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</si>
  <si>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</si>
  <si>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</si>
  <si>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</si>
  <si>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</si>
  <si>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</si>
  <si>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</si>
  <si>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</si>
  <si>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</si>
  <si>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</si>
  <si>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</si>
  <si>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</si>
  <si>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</si>
  <si>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</si>
  <si>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</si>
  <si>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</si>
  <si>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</si>
  <si>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</si>
  <si>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</si>
  <si>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</si>
  <si>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</si>
  <si>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</si>
  <si>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</si>
  <si>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</si>
  <si>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</si>
  <si>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</si>
  <si>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</si>
  <si>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</si>
  <si>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</si>
  <si>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</si>
  <si>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</si>
  <si>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</si>
  <si>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</si>
  <si>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</si>
  <si>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</si>
  <si>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</si>
  <si>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</si>
  <si>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</si>
  <si>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</si>
  <si>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</si>
  <si>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</si>
  <si>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</si>
  <si>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</si>
  <si>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</si>
  <si>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</si>
  <si>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</si>
  <si>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</si>
  <si>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</si>
  <si>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</si>
  <si>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</si>
  <si>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</si>
  <si>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</si>
  <si>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</si>
  <si>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</si>
  <si>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</si>
  <si>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</si>
  <si>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</si>
  <si>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</si>
  <si>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</si>
  <si>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</si>
  <si>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</si>
  <si>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</si>
  <si>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</si>
  <si>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</si>
  <si>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</si>
  <si>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</si>
  <si>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</si>
  <si>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</si>
  <si>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</si>
  <si>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</si>
  <si>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</si>
  <si>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</si>
  <si>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</si>
  <si>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</si>
  <si>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</si>
  <si>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</si>
  <si>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</si>
  <si>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</si>
  <si>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</si>
  <si>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</si>
  <si>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</si>
  <si>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</si>
  <si>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</si>
  <si>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</si>
  <si>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</si>
  <si>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</si>
  <si>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</si>
  <si>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</si>
  <si>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</si>
  <si>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</si>
  <si>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</si>
  <si>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</si>
  <si>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</si>
  <si>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</si>
  <si>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</si>
  <si>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</si>
  <si>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</si>
  <si>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</si>
  <si>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</si>
  <si>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</si>
  <si>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</si>
  <si>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</si>
  <si>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</si>
  <si>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</si>
  <si>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</si>
  <si>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</si>
  <si>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</si>
  <si>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</si>
  <si>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</si>
  <si>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</si>
  <si>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</si>
  <si>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</si>
  <si>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</si>
  <si>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</si>
  <si>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</si>
  <si>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</si>
  <si>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</si>
  <si>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</si>
  <si>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</si>
  <si>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</si>
  <si>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</si>
  <si>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</si>
  <si>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</si>
  <si>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</si>
  <si>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</si>
  <si>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</si>
  <si>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</si>
  <si>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</si>
  <si>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</si>
  <si>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</si>
  <si>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</si>
  <si>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</si>
  <si>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</si>
  <si>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</si>
  <si>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</si>
  <si>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</si>
  <si>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</si>
  <si>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</si>
  <si>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</si>
  <si>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</si>
  <si>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</si>
  <si>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</si>
  <si>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</si>
  <si>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</si>
  <si>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</si>
  <si>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</si>
  <si>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</si>
  <si>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</si>
  <si>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</si>
  <si>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</si>
  <si>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</si>
  <si>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</si>
  <si>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</si>
  <si>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</si>
  <si>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</si>
  <si>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</si>
  <si>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</si>
  <si>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</si>
  <si>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</si>
  <si>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</si>
  <si>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</si>
  <si>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</si>
  <si>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</si>
  <si>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</si>
  <si>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</si>
  <si>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</si>
  <si>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</si>
  <si>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</si>
  <si>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</si>
  <si>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</si>
  <si>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</si>
  <si>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</si>
  <si>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</si>
  <si>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</si>
  <si>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</si>
  <si>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</si>
  <si>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</si>
  <si>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</si>
  <si>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</si>
  <si>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</si>
  <si>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</si>
  <si>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</si>
  <si>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</si>
  <si>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</si>
  <si>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</si>
  <si>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</si>
  <si>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</si>
  <si>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</si>
  <si>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</si>
  <si>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</si>
  <si>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</si>
  <si>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</si>
  <si>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</si>
  <si>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</si>
  <si>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</si>
  <si>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</si>
  <si>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</si>
  <si>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</si>
  <si>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</si>
  <si>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</si>
  <si>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</si>
  <si>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</si>
  <si>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</si>
  <si>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</si>
  <si>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</si>
  <si>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</si>
  <si>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</si>
  <si>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</si>
  <si>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</si>
  <si>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</si>
  <si>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</si>
  <si>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</si>
  <si>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</si>
  <si>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</si>
  <si>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</si>
  <si>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</si>
  <si>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</si>
  <si>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</si>
  <si>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</si>
  <si>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</si>
  <si>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</si>
  <si>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</si>
  <si>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</si>
  <si>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</si>
  <si>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</si>
  <si>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</si>
  <si>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</si>
  <si>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</si>
  <si>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</si>
  <si>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</si>
  <si>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</si>
  <si>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</si>
  <si>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</si>
  <si>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</si>
  <si>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</si>
  <si>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</si>
  <si>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</si>
  <si>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</si>
  <si>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</si>
  <si>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</si>
  <si>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</si>
  <si>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</si>
  <si>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</si>
  <si>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</si>
  <si>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</si>
  <si>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</si>
  <si>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</si>
  <si>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</si>
  <si>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</si>
  <si>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</si>
  <si>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</si>
  <si>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</si>
  <si>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</si>
  <si>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</si>
  <si>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</si>
  <si>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</si>
  <si>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</si>
  <si>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</si>
  <si>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</si>
  <si>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</si>
  <si>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</si>
  <si>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</si>
  <si>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</si>
  <si>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</si>
  <si>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</si>
  <si>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</si>
  <si>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</si>
  <si>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</si>
  <si>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</si>
  <si>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</si>
  <si>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</si>
  <si>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</si>
  <si>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</si>
  <si>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</si>
  <si>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</si>
  <si>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</si>
  <si>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</si>
  <si>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</si>
  <si>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</si>
  <si>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</si>
  <si>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</si>
  <si>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</si>
  <si>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</si>
  <si>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</si>
  <si>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</si>
  <si>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</si>
  <si>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</si>
  <si>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</si>
  <si>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</si>
  <si>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</si>
  <si>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</si>
  <si>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</si>
  <si>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</si>
  <si>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</si>
  <si>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</si>
  <si>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</si>
  <si>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</si>
  <si>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</si>
  <si>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</si>
  <si>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</si>
  <si>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</si>
  <si>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</si>
  <si>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</si>
  <si>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</si>
  <si>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</si>
  <si>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</si>
  <si>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</si>
  <si>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</si>
  <si>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</si>
  <si>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</si>
  <si>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</si>
  <si>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</si>
  <si>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</si>
  <si>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</si>
  <si>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</si>
  <si>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</si>
  <si>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</si>
  <si>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</si>
  <si>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</si>
  <si>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</si>
  <si>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</si>
  <si>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</si>
  <si>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</si>
  <si>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</si>
  <si>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</si>
  <si>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</si>
  <si>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</si>
  <si>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</si>
  <si>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</si>
  <si>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</si>
  <si>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</si>
  <si>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</si>
  <si>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</si>
  <si>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</si>
  <si>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</si>
  <si>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</si>
  <si>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</si>
  <si>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</si>
  <si>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</si>
  <si>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</si>
  <si>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</si>
  <si>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</si>
  <si>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</si>
  <si>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</si>
  <si>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</si>
  <si>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</si>
  <si>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</si>
  <si>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</si>
  <si>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</si>
  <si>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</si>
  <si>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</si>
  <si>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</si>
  <si>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</si>
  <si>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</si>
  <si>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</si>
  <si>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</si>
  <si>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</si>
  <si>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</si>
  <si>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</si>
  <si>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</si>
  <si>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</si>
  <si>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</si>
  <si>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</si>
  <si>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</si>
  <si>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</si>
  <si>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</si>
  <si>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</si>
  <si>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</si>
  <si>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</si>
  <si>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</si>
  <si>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</si>
  <si>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</si>
  <si>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</si>
  <si>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</si>
  <si>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</si>
  <si>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</si>
  <si>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</si>
  <si>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</si>
  <si>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</si>
  <si>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</si>
  <si>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</si>
  <si>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</si>
  <si>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</si>
  <si>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</si>
  <si>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</si>
  <si>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</si>
  <si>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</si>
  <si>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</si>
  <si>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</si>
  <si>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</si>
  <si>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</si>
  <si>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</si>
  <si>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</si>
  <si>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</si>
  <si>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</si>
  <si>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</si>
  <si>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</si>
  <si>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</si>
  <si>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</si>
  <si>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</si>
  <si>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</si>
  <si>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</si>
  <si>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</si>
  <si>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</si>
  <si>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</si>
  <si>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</si>
  <si>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</si>
  <si>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</si>
  <si>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</si>
  <si>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</si>
  <si>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</si>
  <si>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</si>
  <si>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</si>
  <si>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</si>
  <si>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</si>
  <si>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</si>
  <si>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</si>
  <si>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</si>
  <si>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</si>
  <si>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</si>
  <si>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</si>
  <si>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</si>
  <si>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</si>
  <si>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</si>
  <si>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</si>
  <si>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</si>
  <si>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</si>
  <si>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</si>
  <si>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</si>
  <si>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</si>
  <si>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</si>
  <si>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</si>
  <si>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</si>
  <si>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</si>
  <si>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</si>
  <si>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</si>
  <si>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</si>
  <si>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</si>
  <si>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</si>
  <si>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</si>
  <si>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</si>
  <si>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</si>
  <si>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</si>
  <si>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</si>
  <si>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</si>
  <si>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</si>
  <si>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</si>
  <si>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</si>
  <si>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</si>
  <si>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</si>
  <si>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</si>
  <si>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</si>
  <si>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</si>
  <si>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</si>
  <si>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</si>
  <si>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</si>
  <si>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</si>
  <si>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</si>
  <si>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</si>
  <si>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</si>
  <si>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</si>
  <si>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</si>
  <si>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</si>
  <si>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</si>
  <si>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</si>
  <si>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</si>
  <si>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</si>
  <si>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</si>
  <si>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</si>
  <si>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</si>
  <si>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</si>
  <si>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</si>
  <si>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</si>
  <si>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</si>
  <si>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</si>
  <si>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</si>
  <si>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</si>
  <si>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</si>
  <si>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</si>
  <si>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</si>
  <si>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</si>
  <si>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</si>
  <si>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</si>
  <si>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</si>
  <si>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</si>
  <si>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</si>
  <si>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</si>
  <si>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</si>
  <si>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</si>
  <si>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</si>
  <si>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</si>
  <si>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</si>
  <si>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</si>
  <si>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</si>
  <si>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</si>
  <si>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</si>
  <si>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</si>
  <si>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</si>
  <si>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</si>
  <si>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</si>
  <si>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</si>
  <si>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</si>
  <si>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</si>
  <si>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</si>
  <si>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</si>
  <si>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</si>
  <si>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</si>
  <si>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</si>
  <si>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</si>
  <si>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</si>
  <si>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</si>
  <si>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</si>
  <si>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</si>
  <si>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</si>
  <si>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</si>
  <si>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</si>
  <si>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</si>
  <si>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</si>
  <si>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</si>
  <si>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</si>
  <si>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</si>
  <si>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</si>
  <si>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</si>
  <si>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</si>
  <si>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</si>
  <si>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</si>
  <si>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</si>
  <si>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</si>
  <si>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</si>
  <si>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</si>
  <si>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</si>
  <si>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</si>
  <si>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</si>
  <si>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</si>
  <si>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</si>
  <si>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</si>
  <si>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</si>
  <si>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</si>
  <si>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</si>
  <si>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</si>
  <si>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</si>
  <si>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</si>
  <si>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</si>
  <si>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</si>
  <si>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</si>
  <si>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</si>
  <si>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</si>
  <si>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</si>
  <si>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</si>
  <si>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</si>
  <si>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</si>
  <si>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</si>
  <si>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</si>
  <si>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</si>
  <si>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</si>
  <si>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</si>
  <si>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</si>
  <si>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</si>
  <si>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</si>
  <si>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</si>
  <si>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</si>
  <si>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</si>
  <si>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</si>
  <si>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</si>
  <si>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</si>
  <si>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</si>
  <si>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</si>
  <si>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</si>
  <si>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</si>
  <si>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</si>
  <si>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</si>
  <si>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</si>
  <si>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</si>
  <si>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</si>
  <si>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</si>
  <si>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</si>
  <si>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</si>
  <si>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</si>
  <si>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</si>
  <si>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</si>
  <si>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</si>
  <si>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</si>
  <si>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</si>
  <si>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</si>
  <si>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</si>
  <si>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</si>
  <si>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</si>
  <si>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</si>
  <si>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</si>
  <si>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</si>
  <si>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</si>
  <si>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</si>
  <si>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</si>
  <si>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</si>
  <si>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</si>
  <si>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</si>
  <si>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</si>
  <si>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</si>
  <si>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</si>
  <si>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</si>
  <si>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</si>
  <si>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</si>
  <si>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</si>
  <si>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</si>
  <si>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</si>
  <si>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</si>
  <si>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</si>
  <si>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</si>
  <si>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</si>
  <si>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</si>
  <si>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</si>
  <si>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</si>
  <si>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</si>
  <si>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</si>
  <si>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</si>
  <si>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</si>
  <si>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</si>
  <si>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</si>
  <si>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</si>
  <si>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</si>
  <si>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</si>
  <si>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</si>
  <si>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</si>
  <si>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</si>
  <si>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</si>
  <si>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</si>
  <si>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</si>
  <si>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</si>
  <si>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</si>
  <si>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</si>
  <si>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</si>
  <si>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</si>
  <si>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</si>
  <si>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</si>
  <si>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</si>
  <si>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</si>
  <si>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</si>
  <si>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</si>
  <si>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</si>
  <si>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</si>
  <si>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</si>
  <si>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</si>
  <si>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</si>
  <si>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</si>
  <si>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</si>
  <si>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</si>
  <si>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</si>
  <si>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</si>
  <si>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</si>
  <si>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</si>
  <si>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</si>
  <si>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</si>
  <si>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</si>
  <si>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</si>
  <si>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</si>
  <si>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</si>
  <si>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</si>
  <si>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</si>
  <si>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</si>
  <si>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</si>
  <si>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</si>
  <si>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</si>
  <si>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</si>
  <si>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</si>
  <si>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</si>
  <si>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</si>
  <si>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</si>
  <si>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</si>
  <si>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</si>
  <si>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</si>
  <si>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</si>
  <si>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</si>
  <si>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</si>
  <si>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</si>
  <si>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</si>
  <si>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</si>
  <si>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</si>
  <si>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</si>
  <si>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</si>
  <si>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</si>
  <si>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</si>
  <si>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</si>
  <si>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</si>
  <si>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</si>
  <si>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</si>
  <si>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</si>
  <si>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</si>
  <si>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</si>
  <si>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</si>
  <si>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</si>
  <si>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</si>
  <si>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</si>
  <si>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</si>
  <si>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</si>
  <si>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</si>
  <si>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</si>
  <si>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</si>
  <si>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</si>
  <si>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</si>
  <si>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</si>
  <si>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</si>
  <si>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</si>
  <si>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</si>
  <si>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</si>
  <si>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</si>
  <si>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</si>
  <si>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</si>
  <si>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</si>
  <si>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</si>
  <si>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</si>
  <si>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</si>
  <si>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</si>
  <si>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</si>
  <si>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</si>
  <si>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</si>
  <si>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</si>
  <si>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</si>
  <si>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</si>
  <si>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</si>
  <si>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</si>
  <si>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</si>
  <si>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</si>
  <si>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</si>
  <si>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</si>
  <si>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</si>
  <si>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</si>
  <si>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</si>
  <si>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</si>
  <si>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</si>
  <si>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</si>
  <si>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</si>
  <si>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</si>
  <si>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</si>
  <si>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</si>
  <si>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</si>
  <si>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</si>
  <si>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</si>
  <si>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</si>
  <si>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</si>
  <si>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</si>
  <si>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</si>
  <si>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</si>
  <si>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</si>
  <si>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</si>
  <si>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</si>
  <si>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</si>
  <si>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</si>
  <si>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</si>
  <si>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</si>
  <si>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</si>
  <si>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</si>
  <si>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</si>
  <si>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</si>
  <si>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</si>
  <si>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</si>
  <si>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</si>
  <si>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</si>
  <si>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</si>
  <si>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</si>
  <si>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</si>
  <si>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</si>
  <si>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</si>
  <si>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</si>
  <si>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</si>
  <si>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</si>
  <si>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</si>
  <si>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</si>
  <si>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</si>
  <si>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</si>
  <si>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</si>
  <si>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</si>
  <si>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</si>
  <si>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</si>
  <si>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</si>
  <si>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</si>
  <si>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</si>
  <si>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</si>
  <si>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</si>
  <si>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</si>
  <si>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</si>
  <si>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</si>
  <si>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</si>
  <si>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</si>
  <si>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</si>
  <si>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</si>
  <si>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</si>
  <si>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</si>
  <si>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</si>
  <si>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</si>
  <si>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</si>
  <si>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</si>
  <si>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</si>
  <si>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</si>
  <si>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</si>
  <si>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</si>
  <si>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</si>
  <si>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</si>
  <si>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</si>
  <si>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</si>
  <si>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</si>
  <si>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</si>
  <si>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</si>
  <si>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</si>
  <si>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</si>
  <si>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</si>
  <si>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</si>
  <si>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</si>
  <si>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</si>
  <si>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</si>
  <si>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</si>
  <si>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</si>
  <si>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</si>
  <si>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</si>
  <si>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</si>
  <si>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</si>
  <si>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</si>
  <si>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</si>
  <si>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</si>
  <si>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</si>
  <si>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</si>
  <si>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</si>
  <si>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</si>
  <si>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</si>
  <si>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</si>
  <si>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</si>
  <si>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</si>
  <si>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</si>
  <si>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</si>
  <si>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</si>
  <si>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</si>
  <si>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</si>
  <si>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</si>
  <si>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</si>
  <si>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</si>
  <si>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</si>
  <si>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</si>
  <si>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</si>
  <si>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</si>
  <si>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</si>
  <si>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</si>
  <si>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</si>
  <si>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</si>
  <si>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</si>
  <si>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</si>
  <si>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</si>
  <si>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</si>
  <si>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</si>
  <si>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</si>
  <si>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</si>
  <si>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</si>
  <si>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</si>
  <si>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</si>
  <si>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</si>
  <si>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</si>
  <si>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</si>
  <si>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</si>
  <si>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</si>
  <si>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</si>
  <si>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</si>
  <si>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</si>
  <si>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</si>
  <si>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</si>
  <si>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</si>
  <si>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</si>
  <si>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</si>
  <si>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</si>
  <si>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</si>
  <si>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</si>
  <si>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</si>
  <si>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</si>
  <si>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</si>
  <si>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</si>
  <si>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</si>
  <si>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</si>
  <si>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</si>
  <si>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</si>
  <si>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</si>
  <si>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</si>
  <si>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</si>
  <si>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</si>
  <si>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</si>
  <si>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</si>
  <si>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</si>
  <si>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</si>
  <si>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</si>
  <si>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</si>
  <si>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</si>
  <si>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</si>
  <si>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</si>
  <si>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</si>
  <si>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</si>
  <si>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</si>
  <si>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</si>
  <si>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</si>
  <si>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</si>
  <si>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</si>
  <si>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</si>
  <si>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</si>
  <si>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</si>
  <si>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</si>
  <si>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</si>
  <si>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</si>
  <si>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</si>
  <si>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</si>
  <si>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</si>
  <si>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</si>
  <si>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</si>
  <si>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</si>
  <si>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</si>
  <si>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</si>
  <si>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</si>
  <si>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</si>
  <si>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</si>
  <si>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</si>
  <si>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</si>
  <si>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</si>
  <si>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</si>
  <si>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</si>
  <si>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</si>
  <si>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</si>
  <si>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</si>
  <si>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</si>
  <si>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</si>
  <si>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</si>
  <si>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</si>
  <si>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</si>
  <si>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</si>
  <si>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</si>
  <si>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</si>
  <si>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</si>
  <si>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</si>
  <si>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</si>
  <si>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</si>
  <si>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</si>
  <si>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</si>
  <si>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</si>
  <si>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</si>
  <si>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</si>
  <si>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</si>
  <si>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</si>
  <si>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</si>
  <si>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</si>
  <si>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</si>
  <si>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</si>
  <si>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</si>
  <si>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</si>
  <si>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</si>
  <si>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</si>
  <si>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</si>
  <si>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</si>
  <si>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</si>
  <si>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</si>
  <si>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</si>
  <si>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</si>
  <si>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</si>
  <si>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</si>
  <si>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</si>
  <si>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</si>
  <si>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</si>
  <si>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</si>
  <si>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</si>
  <si>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</si>
  <si>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</si>
  <si>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</si>
  <si>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</si>
  <si>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</si>
  <si>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</si>
  <si>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</si>
  <si>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</si>
  <si>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</si>
  <si>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</si>
  <si>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</si>
  <si>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</si>
  <si>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</si>
  <si>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</si>
  <si>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</si>
  <si>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</si>
  <si>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</si>
  <si>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</si>
  <si>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</si>
  <si>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</si>
  <si>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</si>
  <si>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</si>
  <si>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</si>
  <si>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</si>
  <si>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</si>
  <si>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</si>
  <si>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</si>
  <si>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</si>
  <si>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</si>
  <si>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</si>
  <si>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</si>
  <si>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</si>
  <si>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</si>
  <si>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</si>
  <si>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</si>
  <si>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</si>
  <si>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</si>
  <si>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</si>
  <si>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</si>
  <si>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</si>
  <si>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</si>
  <si>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</si>
  <si>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</si>
  <si>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</si>
  <si>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</si>
  <si>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</si>
  <si>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</si>
  <si>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</si>
  <si>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</si>
  <si>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</si>
  <si>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</si>
  <si>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</si>
  <si>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</si>
  <si>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</si>
  <si>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</si>
  <si>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</si>
  <si>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</si>
  <si>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</si>
  <si>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</si>
  <si>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</si>
  <si>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</si>
  <si>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</si>
  <si>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</si>
  <si>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</si>
  <si>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</si>
  <si>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</si>
  <si>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</si>
  <si>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</si>
  <si>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</si>
  <si>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</si>
  <si>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</si>
  <si>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</si>
  <si>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</si>
  <si>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</si>
  <si>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</si>
  <si>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</si>
  <si>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</si>
  <si>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</si>
  <si>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</si>
  <si>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</si>
  <si>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</si>
  <si>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</si>
  <si>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</si>
  <si>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</si>
  <si>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</si>
  <si>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</si>
  <si>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</si>
  <si>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</si>
  <si>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</si>
  <si>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</si>
  <si>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</si>
  <si>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</si>
  <si>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</si>
  <si>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</si>
  <si>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</si>
  <si>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</si>
  <si>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</si>
  <si>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</si>
  <si>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</si>
  <si>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</si>
  <si>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</si>
  <si>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</si>
  <si>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</si>
  <si>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</si>
  <si>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</si>
  <si>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</si>
  <si>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</si>
  <si>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</si>
  <si>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</si>
  <si>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</si>
  <si>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</si>
  <si>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</si>
  <si>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</si>
  <si>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</si>
  <si>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</si>
  <si>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</si>
  <si>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</si>
  <si>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</si>
  <si>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</si>
  <si>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</si>
  <si>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</si>
  <si>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</si>
  <si>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</si>
  <si>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</si>
  <si>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</si>
  <si>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</si>
  <si>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</si>
  <si>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</si>
  <si>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</si>
  <si>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</si>
  <si>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</si>
  <si>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</si>
  <si>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</si>
  <si>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</si>
  <si>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</si>
  <si>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</si>
  <si>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</si>
  <si>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</si>
  <si>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</si>
  <si>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</si>
  <si>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</si>
  <si>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</si>
  <si>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</si>
  <si>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</si>
  <si>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</si>
  <si>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</si>
  <si>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</si>
  <si>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</si>
  <si>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</si>
  <si>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</si>
  <si>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</si>
  <si>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</si>
  <si>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</si>
  <si>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</si>
  <si>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</si>
  <si>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</si>
  <si>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</si>
  <si>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</si>
  <si>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</si>
  <si>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</si>
  <si>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</si>
  <si>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</si>
  <si>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</si>
  <si>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</si>
  <si>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</si>
  <si>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</si>
  <si>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</si>
  <si>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</si>
  <si>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</si>
  <si>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</si>
  <si>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</si>
  <si>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</si>
  <si>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</si>
  <si>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</si>
  <si>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</si>
  <si>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</si>
  <si>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</si>
  <si>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</si>
  <si>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</si>
  <si>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</si>
  <si>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</si>
  <si>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</si>
  <si>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</si>
  <si>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</si>
  <si>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</si>
  <si>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</si>
  <si>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</si>
  <si>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</si>
  <si>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</si>
  <si>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</si>
  <si>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</si>
  <si>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</si>
  <si>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</si>
  <si>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</si>
  <si>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</si>
  <si>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</si>
  <si>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</si>
  <si>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</si>
  <si>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</si>
  <si>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</si>
  <si>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</si>
  <si>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</si>
  <si>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</si>
  <si>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</si>
  <si>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</si>
  <si>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</si>
  <si>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</si>
  <si>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</si>
  <si>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</si>
  <si>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</si>
  <si>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</si>
  <si>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</si>
  <si>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</si>
  <si>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</si>
  <si>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</si>
  <si>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</si>
  <si>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</si>
  <si>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</si>
  <si>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</si>
  <si>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</si>
  <si>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</si>
  <si>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</si>
  <si>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</si>
  <si>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</si>
  <si>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</si>
  <si>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</si>
  <si>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</si>
  <si>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</si>
  <si>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</si>
  <si>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</si>
  <si>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</si>
  <si>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</si>
  <si>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</si>
  <si>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</si>
  <si>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</si>
  <si>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</si>
  <si>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</si>
  <si>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</si>
  <si>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</si>
  <si>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</si>
  <si>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</si>
  <si>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</si>
  <si>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</si>
  <si>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</si>
  <si>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</si>
  <si>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</si>
  <si>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</si>
  <si>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</si>
  <si>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</si>
  <si>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</si>
  <si>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</si>
  <si>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</si>
  <si>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</si>
  <si>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</si>
  <si>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</si>
  <si>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</si>
  <si>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</si>
  <si>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</si>
  <si>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</si>
  <si>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</si>
  <si>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</si>
  <si>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</si>
  <si>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</si>
  <si>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</si>
  <si>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</si>
  <si>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</si>
  <si>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</si>
  <si>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</si>
  <si>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</si>
  <si>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</si>
  <si>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</si>
  <si>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</si>
  <si>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</si>
  <si>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</si>
  <si>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</si>
  <si>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</si>
  <si>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</si>
  <si>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</si>
  <si>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</si>
  <si>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</si>
  <si>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</si>
  <si>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</si>
  <si>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</si>
  <si>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</si>
  <si>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</si>
  <si>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</si>
  <si>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</si>
  <si>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</si>
  <si>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</si>
  <si>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</si>
  <si>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</si>
  <si>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</si>
  <si>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</si>
  <si>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</si>
  <si>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</si>
  <si>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</si>
  <si>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</si>
  <si>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</si>
  <si>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</si>
  <si>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</si>
  <si>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</si>
  <si>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</si>
  <si>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</si>
  <si>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</si>
  <si>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</si>
  <si>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</si>
  <si>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</si>
  <si>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</si>
  <si>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</si>
  <si>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</si>
  <si>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</si>
  <si>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</si>
  <si>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</si>
  <si>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</si>
  <si>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</si>
  <si>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</si>
  <si>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</si>
  <si>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</si>
  <si>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</si>
  <si>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</si>
  <si>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</si>
  <si>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</si>
  <si>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</si>
  <si>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</si>
  <si>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</si>
  <si>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</si>
  <si>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</si>
  <si>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</si>
  <si>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</si>
  <si>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</si>
  <si>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</si>
  <si>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</si>
  <si>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</si>
  <si>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</si>
  <si>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</si>
  <si>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</si>
  <si>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</si>
  <si>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</si>
  <si>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</si>
  <si>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</si>
  <si>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</si>
  <si>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</si>
  <si>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</si>
  <si>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</si>
  <si>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</si>
  <si>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</si>
  <si>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</si>
  <si>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</si>
  <si>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</si>
  <si>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</si>
  <si>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</si>
  <si>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</si>
  <si>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</si>
  <si>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</si>
  <si>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</si>
  <si>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</si>
  <si>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</si>
  <si>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</si>
  <si>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</si>
  <si>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</si>
  <si>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</si>
  <si>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</si>
  <si>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</si>
  <si>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</si>
  <si>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</si>
  <si>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</si>
  <si>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</si>
  <si>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</si>
  <si>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</si>
  <si>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</si>
  <si>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</si>
  <si>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</si>
  <si>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</si>
  <si>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</si>
  <si>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</si>
  <si>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</si>
  <si>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</si>
  <si>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</si>
  <si>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</si>
  <si>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</si>
  <si>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</si>
  <si>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</si>
  <si>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</si>
  <si>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</si>
  <si>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</si>
  <si>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</si>
  <si>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</si>
  <si>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</si>
  <si>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</si>
  <si>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</si>
  <si>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</si>
  <si>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</si>
  <si>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</si>
  <si>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</si>
  <si>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</si>
  <si>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</si>
  <si>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</si>
  <si>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</si>
  <si>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</si>
  <si>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</si>
  <si>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</si>
  <si>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</si>
  <si>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</si>
  <si>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</si>
  <si>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</si>
  <si>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</si>
  <si>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</si>
  <si>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</si>
  <si>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</si>
  <si>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</si>
  <si>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</si>
  <si>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</si>
  <si>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</si>
  <si>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</si>
  <si>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</si>
  <si>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</si>
  <si>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</si>
  <si>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</si>
  <si>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</si>
  <si>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</si>
  <si>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</si>
  <si>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</si>
  <si>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</si>
  <si>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</si>
  <si>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</si>
  <si>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</si>
  <si>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</si>
  <si>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</si>
  <si>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</si>
  <si>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</si>
  <si>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</si>
  <si>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</si>
  <si>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</si>
  <si>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</si>
  <si>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</si>
  <si>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</si>
  <si>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</si>
  <si>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</si>
  <si>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</si>
  <si>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</si>
  <si>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</si>
  <si>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</si>
  <si>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</si>
  <si>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</si>
  <si>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</si>
  <si>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</si>
  <si>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</si>
  <si>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</si>
  <si>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</si>
  <si>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</si>
  <si>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</si>
  <si>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</si>
  <si>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</si>
  <si>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</si>
  <si>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</si>
  <si>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</si>
  <si>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</si>
  <si>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</si>
  <si>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</si>
  <si>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</si>
  <si>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</si>
  <si>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</si>
  <si>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</si>
  <si>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</si>
  <si>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</si>
  <si>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</si>
  <si>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</si>
  <si>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</si>
  <si>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</si>
  <si>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</si>
  <si>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</si>
  <si>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</si>
  <si>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</si>
  <si>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</si>
  <si>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</si>
  <si>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</si>
  <si>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</si>
  <si>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</si>
  <si>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</si>
  <si>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</si>
  <si>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</si>
  <si>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</si>
  <si>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</si>
  <si>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</si>
  <si>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</si>
  <si>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</si>
  <si>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</si>
  <si>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</si>
  <si>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</si>
  <si>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</si>
  <si>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</si>
  <si>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</si>
  <si>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</si>
  <si>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</si>
  <si>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</si>
  <si>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</si>
  <si>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</si>
  <si>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</si>
  <si>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</si>
  <si>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</si>
  <si>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</si>
  <si>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</si>
  <si>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</si>
  <si>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</si>
  <si>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</si>
  <si>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</si>
  <si>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</si>
  <si>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</si>
  <si>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</si>
  <si>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</si>
  <si>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</si>
  <si>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</si>
  <si>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</si>
  <si>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</si>
  <si>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</si>
  <si>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</si>
  <si>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</si>
  <si>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</si>
  <si>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</si>
  <si>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</si>
  <si>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</si>
  <si>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</si>
  <si>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</si>
  <si>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</si>
  <si>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</si>
  <si>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</si>
  <si>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</si>
  <si>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</si>
  <si>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</si>
  <si>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</si>
  <si>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</si>
  <si>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</si>
  <si>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</si>
  <si>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</si>
  <si>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</si>
  <si>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</si>
  <si>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</si>
  <si>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</si>
  <si>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</si>
  <si>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</si>
  <si>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</si>
  <si>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</si>
  <si>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</si>
  <si>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</si>
  <si>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</si>
  <si>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</si>
  <si>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</si>
  <si>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</si>
  <si>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</si>
  <si>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</si>
  <si>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</si>
  <si>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</si>
  <si>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</si>
  <si>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</si>
  <si>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</si>
  <si>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</si>
  <si>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</si>
  <si>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</si>
  <si>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</si>
  <si>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</si>
  <si>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</si>
  <si>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</si>
  <si>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</si>
  <si>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</si>
  <si>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</si>
  <si>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</si>
  <si>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23.03.2021</t>
  </si>
  <si>
    <t>590585434116</t>
  </si>
  <si>
    <t>Карапетян Армен Сагателович</t>
  </si>
  <si>
    <t>7 (951) 936-25-77
8 (342) 296-10-08</t>
  </si>
  <si>
    <t>202102151353</t>
  </si>
  <si>
    <t>16 975 773,74</t>
  </si>
  <si>
    <t>Пермский край, район Осинский, г.Оса</t>
  </si>
  <si>
    <t>593306080105</t>
  </si>
  <si>
    <t>Хачатрян Акоб Володяевич</t>
  </si>
  <si>
    <t>7 (902) 799-17-46
8 (342) 769-16-46</t>
  </si>
  <si>
    <t>202102161433</t>
  </si>
  <si>
    <t>14 680 247,00</t>
  </si>
  <si>
    <t>Пермский край, г. Верещагино</t>
  </si>
  <si>
    <t>202102240051</t>
  </si>
  <si>
    <t>6 855 781,81</t>
  </si>
  <si>
    <t>город Москва, бульвар Дмитрия Донского, дом 6</t>
  </si>
  <si>
    <t>6315648332</t>
  </si>
  <si>
    <t>ООО «СамРЭК-Эксплуатация»</t>
  </si>
  <si>
    <t>7 (846) 212-02-76
7 (846) 212-02-70</t>
  </si>
  <si>
    <t>202102240655</t>
  </si>
  <si>
    <t>323 919 020,00</t>
  </si>
  <si>
    <t>446600 Самарская область, г. Нефтегорск</t>
  </si>
  <si>
    <t>2311190037</t>
  </si>
  <si>
    <t>7 (861) 228-94-87
7 (918) 482-00-47</t>
  </si>
  <si>
    <t>202102251210</t>
  </si>
  <si>
    <t>25 611 255,60</t>
  </si>
  <si>
    <t>Краснодарский край, Абинский район, город Абинск</t>
  </si>
  <si>
    <t>5254491136</t>
  </si>
  <si>
    <t>ООО «СК ТЕРЕМ»</t>
  </si>
  <si>
    <t>7 (831) 303-15-03
7 (904) 902-43-10</t>
  </si>
  <si>
    <t>202103010409</t>
  </si>
  <si>
    <t>12 051 540,00</t>
  </si>
  <si>
    <t xml:space="preserve"> Нижегородская обл, город Саров</t>
  </si>
  <si>
    <t>202103025711</t>
  </si>
  <si>
    <t>382 885 742,94</t>
  </si>
  <si>
    <t>463303797855</t>
  </si>
  <si>
    <t>Ворожкова Вера Алексеевна</t>
  </si>
  <si>
    <t>7 (920) 264-25-52</t>
  </si>
  <si>
    <t>202103093140</t>
  </si>
  <si>
    <t>4 999 278,00</t>
  </si>
  <si>
    <t>Брянская обл., г. Севск</t>
  </si>
  <si>
    <t>7725329074</t>
  </si>
  <si>
    <t>ООО «СПОРТИВНАЯ АРХИТЕКТУРА»</t>
  </si>
  <si>
    <t>7 (930) 005-43-79
7 (915) 190-03-95</t>
  </si>
  <si>
    <t>202103092301</t>
  </si>
  <si>
    <t>19 997 394,00</t>
  </si>
  <si>
    <t>Московская область, г. Балашиха, микрорайон Железнодорожный</t>
  </si>
  <si>
    <t>5920046527</t>
  </si>
  <si>
    <t>ООО «СКФ «КОНТИНЕНТ»</t>
  </si>
  <si>
    <t>7 (982) 478-80-41
7 (342) 412-16-11</t>
  </si>
  <si>
    <t>202103091829</t>
  </si>
  <si>
    <t>31 015 820,00</t>
  </si>
  <si>
    <t>Пермский край, г. Чайковский, п. Прикамский</t>
  </si>
  <si>
    <t>3652012396</t>
  </si>
  <si>
    <t>ООО «ХИВА -СТРОЙ»</t>
  </si>
  <si>
    <t>7 (961) 189-92-03
7 (473) 914-68-69</t>
  </si>
  <si>
    <t>202103102415</t>
  </si>
  <si>
    <t>21 311 980,00</t>
  </si>
  <si>
    <t>Воронежская область, Лискинский район, с. Средний Икорец</t>
  </si>
  <si>
    <t>202103105930</t>
  </si>
  <si>
    <t>58 860 453,09</t>
  </si>
  <si>
    <t>Пензенская обл, Кузнецк г</t>
  </si>
  <si>
    <t>5190027624</t>
  </si>
  <si>
    <t>ООО «ПК «БСМ-ГРУПП»</t>
  </si>
  <si>
    <t>7 (911) 300-15-00
7 (815) 243-97-75</t>
  </si>
  <si>
    <t>202103151318</t>
  </si>
  <si>
    <t>9 613 831,59</t>
  </si>
  <si>
    <t>город Мурманск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</si>
</sst>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2" fillId="14" borderId="2" xfId="0" applyFont="1" applyFill="1" applyBorder="1"/>
    <xf numFmtId="14" fontId="2" fillId="14" borderId="2" xfId="0" applyNumberFormat="1" applyFont="1" applyFill="1" applyBorder="1"/>
    <xf numFmtId="49" fontId="3" fillId="14" borderId="2" xfId="0" applyNumberFormat="1" applyFont="1" applyFill="1" applyBorder="1" applyAlignment="1">
      <alignment horizontal="left"/>
    </xf>
    <xf numFmtId="49" fontId="2" fillId="14" borderId="2" xfId="0" applyNumberFormat="1" applyFont="1" applyFill="1" applyBorder="1"/>
    <xf numFmtId="49" fontId="2" fillId="14" borderId="2" xfId="0" applyNumberFormat="1" applyFont="1" applyFill="1" applyBorder="1" applyAlignment="1"/>
    <xf numFmtId="0" fontId="2" fillId="14" borderId="2" xfId="0" applyFont="1" applyFill="1" applyBorder="1" applyAlignment="1"/>
    <xf numFmtId="4" fontId="2" fillId="14" borderId="2" xfId="0" applyNumberFormat="1" applyFont="1" applyFill="1" applyBorder="1"/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EXCEL\&#8470;366&#1045;%20&#1086;&#1090;%2023.03.2021%20&#1042;&#1086;&#1088;&#1086;&#1078;&#1082;&#1086;&#1074;&#1072;%20&#1042;&#1077;&#1088;&#1072;%20&#1040;&#1083;&#1077;&#1082;&#1089;&#1077;&#1077;&#1074;&#1085;&#1072;(C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371&#1045;%20&#1086;&#1090;%2023.03.2021%20&#1054;&#1054;&#1054;%20&#1055;&#1050;%20&#1041;&#1057;&#1052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EXCEL\&#8470;361&#1045;%20&#1086;&#1090;%2023.03.2021%20&#1054;&#1054;&#1054;%20&#1055;&#1042;&#1053;%20&#1058;&#1056;&#1045;&#1049;&#1044;(C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65&#1045;%20&#1086;&#1090;%2023.03.2021%20&#1054;&#1054;&#1054;%20&#1050;&#1086;&#1084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370&#1045;%20&#1086;&#1090;%2023.03.2021%20&#1054;&#1054;&#1054;%20&#1057;&#1058;&#1056;&#1054;&#1049;&#1050;&#1054;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EXCEL\&#8470;360&#1045;%20&#1086;&#1090;%2023.03.2021%20&#1061;&#1072;&#1095;&#1072;&#1090;&#1088;&#1103;&#1085;%20&#1040;&#1082;&#1086;&#1073;%20&#1042;&#1086;&#1083;&#1086;&#1076;&#1103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vmlDrawing" Target="../drawings/vmlDrawing2.vml"/><Relationship Id="rId1" Type="http://schemas.openxmlformats.org/officeDocument/2006/relationships/hyperlink" Target="EXCEL\&#8470;359&#1045;%20&#1086;&#1090;%2023.03.2021%20&#1050;&#1072;&#1088;&#1072;&#1087;&#1077;&#1090;&#1103;&#1085;%20&#1040;&#1088;&#1084;&#1077;&#1085;%20&#1057;&#1072;&#1075;&#1072;&#1090;&#1077;&#1083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64&#1045;%20&#1086;&#1090;%2023.03.2021%20&#1054;&#1054;&#1054;%20&#1057;&#1050;%20&#1058;&#1045;&#1056;&#1045;&#1052;(C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369&#1045;%20&#1086;&#1090;%2023.03.2021%20&#1054;&#1054;&#1054;%20&#1061;&#1048;&#1042;&#1040;%20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3&#1045;%20&#1086;&#1090;%2023.03.2021%20&#1054;&#1054;&#1054;%20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drawing" Target="../drawings/drawing2.xml"/><Relationship Id="rId10" Type="http://schemas.openxmlformats.org/officeDocument/2006/relationships/hyperlink" Target="EXCEL\&#8470;368&#1045;%20&#1086;&#1090;%2023.03.2021%20&#1054;&#1054;&#1054;%20&#1057;&#1050;&#1060;%20&#1050;&#1054;&#1053;&#1058;&#1048;&#1053;&#1045;&#1053;&#1058;(C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62&#1045;%20&#1086;&#1090;%2023.03.2021%20&#1054;&#1054;&#1054;%20&#1057;&#1072;&#1084;&#1056;&#1069;&#1050;-&#1069;&#1082;&#1089;&#1087;&#1083;&#1091;&#1072;&#1090;&#1072;&#1094;&#1080;&#1103;(C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367&#1045;%20&#1086;&#1090;%2023.03.2021%20&#1054;&#1054;&#1054;%20&#1057;&#1055;&#1054;&#1056;&#1058;&#1048;&#1042;&#1053;&#1040;&#1071;%20&#1040;&#1056;&#1061;&#1048;&#1058;&#1045;&#1050;&#1058;&#1059;&#1056;&#1040;(C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305" t="s">
        <v>48</v>
      </c>
      <c r="K6" s="306"/>
      <c r="L6" s="306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14"/>
  <sheetViews>
    <sheetView tabSelected="1" workbookViewId="0">
      <selection activeCell="J14" sqref="J14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7" x14ac:dyDescent="0.25">
      <c r="A2" s="298">
        <v>1566</v>
      </c>
      <c r="B2" s="148" t="s">
        <v>6693</v>
      </c>
      <c r="C2" s="299" t="s">
        <v>11300</v>
      </c>
      <c r="D2" s="300" t="s">
        <v>11301</v>
      </c>
      <c r="E2" s="301" t="s">
        <v>11302</v>
      </c>
      <c r="F2" s="302" t="s">
        <v>11303</v>
      </c>
      <c r="G2" s="138" t="s">
        <v>11304</v>
      </c>
      <c r="H2" s="298" t="s">
        <v>5639</v>
      </c>
      <c r="I2" s="298"/>
      <c r="J2" s="298"/>
      <c r="K2" s="303"/>
      <c r="L2" s="298"/>
      <c r="M2" s="298"/>
      <c r="N2" s="304">
        <v>82500</v>
      </c>
      <c r="O2" s="139" t="s">
        <v>11305</v>
      </c>
      <c r="P2" s="139"/>
      <c r="Q2" s="298" t="s">
        <v>11306</v>
      </c>
    </row>
    <row r="3" spans="1:17" x14ac:dyDescent="0.25">
      <c r="A3" s="298">
        <v>1567</v>
      </c>
      <c r="B3" s="148" t="s">
        <v>6694</v>
      </c>
      <c r="C3" s="299" t="s">
        <v>11300</v>
      </c>
      <c r="D3" s="300" t="s">
        <v>11307</v>
      </c>
      <c r="E3" s="301" t="s">
        <v>11308</v>
      </c>
      <c r="F3" s="302" t="s">
        <v>11309</v>
      </c>
      <c r="G3" s="138" t="s">
        <v>11310</v>
      </c>
      <c r="H3" s="298" t="s">
        <v>5639</v>
      </c>
      <c r="I3" s="298"/>
      <c r="J3" s="298"/>
      <c r="K3" s="303"/>
      <c r="L3" s="298"/>
      <c r="M3" s="298"/>
      <c r="N3" s="304">
        <v>180850</v>
      </c>
      <c r="O3" s="139" t="s">
        <v>11311</v>
      </c>
      <c r="P3" s="139"/>
      <c r="Q3" s="298" t="s">
        <v>11312</v>
      </c>
    </row>
    <row r="4" spans="1:17" x14ac:dyDescent="0.25">
      <c r="A4" s="298">
        <v>1568</v>
      </c>
      <c r="B4" s="148" t="s">
        <v>6696</v>
      </c>
      <c r="C4" s="299" t="s">
        <v>11300</v>
      </c>
      <c r="D4" s="300" t="s">
        <v>1725</v>
      </c>
      <c r="E4" s="301" t="s">
        <v>1726</v>
      </c>
      <c r="F4" s="302" t="s">
        <v>1727</v>
      </c>
      <c r="G4" s="138" t="s">
        <v>11313</v>
      </c>
      <c r="H4" s="298" t="s">
        <v>5639</v>
      </c>
      <c r="I4" s="298"/>
      <c r="J4" s="298"/>
      <c r="K4" s="303"/>
      <c r="L4" s="298"/>
      <c r="M4" s="298"/>
      <c r="N4" s="304">
        <v>58800</v>
      </c>
      <c r="O4" s="139" t="s">
        <v>11314</v>
      </c>
      <c r="P4" s="139"/>
      <c r="Q4" s="298" t="s">
        <v>11315</v>
      </c>
    </row>
    <row r="5" spans="1:17" x14ac:dyDescent="0.25">
      <c r="A5" s="298">
        <v>1569</v>
      </c>
      <c r="B5" s="148" t="s">
        <v>6698</v>
      </c>
      <c r="C5" s="299" t="s">
        <v>11300</v>
      </c>
      <c r="D5" s="300" t="s">
        <v>11316</v>
      </c>
      <c r="E5" s="301" t="s">
        <v>11317</v>
      </c>
      <c r="F5" s="302" t="s">
        <v>11318</v>
      </c>
      <c r="G5" s="138" t="s">
        <v>11319</v>
      </c>
      <c r="H5" s="298" t="s">
        <v>5639</v>
      </c>
      <c r="I5" s="298"/>
      <c r="J5" s="298"/>
      <c r="K5" s="303"/>
      <c r="L5" s="298"/>
      <c r="M5" s="298"/>
      <c r="N5" s="304">
        <v>1458000</v>
      </c>
      <c r="O5" s="139" t="s">
        <v>11320</v>
      </c>
      <c r="P5" s="139"/>
      <c r="Q5" s="298" t="s">
        <v>11321</v>
      </c>
    </row>
    <row r="6" spans="1:17" x14ac:dyDescent="0.25">
      <c r="A6" s="298">
        <v>1570</v>
      </c>
      <c r="B6" s="148" t="s">
        <v>6700</v>
      </c>
      <c r="C6" s="299" t="s">
        <v>11300</v>
      </c>
      <c r="D6" s="300" t="s">
        <v>11322</v>
      </c>
      <c r="E6" s="301" t="s">
        <v>2803</v>
      </c>
      <c r="F6" s="302" t="s">
        <v>11323</v>
      </c>
      <c r="G6" s="138" t="s">
        <v>11324</v>
      </c>
      <c r="H6" s="298" t="s">
        <v>5639</v>
      </c>
      <c r="I6" s="298"/>
      <c r="J6" s="298"/>
      <c r="K6" s="303"/>
      <c r="L6" s="298"/>
      <c r="M6" s="298"/>
      <c r="N6" s="304">
        <v>169400</v>
      </c>
      <c r="O6" s="139" t="s">
        <v>11325</v>
      </c>
      <c r="P6" s="139"/>
      <c r="Q6" s="298" t="s">
        <v>11326</v>
      </c>
    </row>
    <row r="7" spans="1:17" x14ac:dyDescent="0.25">
      <c r="A7" s="298">
        <v>1571</v>
      </c>
      <c r="B7" s="148" t="s">
        <v>6702</v>
      </c>
      <c r="C7" s="299" t="s">
        <v>11300</v>
      </c>
      <c r="D7" s="300" t="s">
        <v>11327</v>
      </c>
      <c r="E7" s="301" t="s">
        <v>11328</v>
      </c>
      <c r="F7" s="302" t="s">
        <v>11329</v>
      </c>
      <c r="G7" s="138" t="s">
        <v>11330</v>
      </c>
      <c r="H7" s="298" t="s">
        <v>5639</v>
      </c>
      <c r="I7" s="298"/>
      <c r="J7" s="298"/>
      <c r="K7" s="303"/>
      <c r="L7" s="298"/>
      <c r="M7" s="298"/>
      <c r="N7" s="304">
        <v>108000</v>
      </c>
      <c r="O7" s="139" t="s">
        <v>11331</v>
      </c>
      <c r="P7" s="139"/>
      <c r="Q7" s="298" t="s">
        <v>11332</v>
      </c>
    </row>
    <row r="8" spans="1:17" x14ac:dyDescent="0.25">
      <c r="A8" s="298">
        <v>1572</v>
      </c>
      <c r="B8" s="148" t="s">
        <v>6704</v>
      </c>
      <c r="C8" s="299" t="s">
        <v>11300</v>
      </c>
      <c r="D8" s="300" t="s">
        <v>2042</v>
      </c>
      <c r="E8" s="301" t="s">
        <v>2043</v>
      </c>
      <c r="F8" s="302" t="s">
        <v>2044</v>
      </c>
      <c r="G8" s="138" t="s">
        <v>11333</v>
      </c>
      <c r="H8" s="298" t="s">
        <v>5639</v>
      </c>
      <c r="I8" s="298"/>
      <c r="J8" s="298"/>
      <c r="K8" s="303"/>
      <c r="L8" s="298"/>
      <c r="M8" s="298"/>
      <c r="N8" s="304">
        <v>572800</v>
      </c>
      <c r="O8" s="139" t="s">
        <v>11334</v>
      </c>
      <c r="P8" s="139"/>
      <c r="Q8" s="298" t="s">
        <v>10943</v>
      </c>
    </row>
    <row r="9" spans="1:17" x14ac:dyDescent="0.25">
      <c r="A9" s="298">
        <v>1573</v>
      </c>
      <c r="B9" s="148" t="s">
        <v>6706</v>
      </c>
      <c r="C9" s="299" t="s">
        <v>11300</v>
      </c>
      <c r="D9" s="300" t="s">
        <v>11335</v>
      </c>
      <c r="E9" s="301" t="s">
        <v>11336</v>
      </c>
      <c r="F9" s="302" t="s">
        <v>11337</v>
      </c>
      <c r="G9" s="138" t="s">
        <v>11338</v>
      </c>
      <c r="H9" s="298" t="s">
        <v>5639</v>
      </c>
      <c r="I9" s="298"/>
      <c r="J9" s="298"/>
      <c r="K9" s="303"/>
      <c r="L9" s="298"/>
      <c r="M9" s="298"/>
      <c r="N9" s="304">
        <v>52000</v>
      </c>
      <c r="O9" s="139" t="s">
        <v>11339</v>
      </c>
      <c r="P9" s="139"/>
      <c r="Q9" s="298" t="s">
        <v>11340</v>
      </c>
    </row>
    <row r="10" spans="1:17" x14ac:dyDescent="0.25">
      <c r="A10" s="298">
        <v>1574</v>
      </c>
      <c r="B10" s="148" t="s">
        <v>6708</v>
      </c>
      <c r="C10" s="299" t="s">
        <v>11300</v>
      </c>
      <c r="D10" s="300" t="s">
        <v>11341</v>
      </c>
      <c r="E10" s="301" t="s">
        <v>11342</v>
      </c>
      <c r="F10" s="302" t="s">
        <v>11343</v>
      </c>
      <c r="G10" s="138" t="s">
        <v>11344</v>
      </c>
      <c r="H10" s="298" t="s">
        <v>5639</v>
      </c>
      <c r="I10" s="298"/>
      <c r="J10" s="298"/>
      <c r="K10" s="303"/>
      <c r="L10" s="298"/>
      <c r="M10" s="298"/>
      <c r="N10" s="304">
        <v>527055</v>
      </c>
      <c r="O10" s="139" t="s">
        <v>11345</v>
      </c>
      <c r="P10" s="139"/>
      <c r="Q10" s="298" t="s">
        <v>11346</v>
      </c>
    </row>
    <row r="11" spans="1:17" x14ac:dyDescent="0.25">
      <c r="A11" s="298">
        <v>1575</v>
      </c>
      <c r="B11" s="148" t="s">
        <v>6710</v>
      </c>
      <c r="C11" s="299" t="s">
        <v>11300</v>
      </c>
      <c r="D11" s="300" t="s">
        <v>11347</v>
      </c>
      <c r="E11" s="301" t="s">
        <v>11348</v>
      </c>
      <c r="F11" s="302" t="s">
        <v>11349</v>
      </c>
      <c r="G11" s="138" t="s">
        <v>11350</v>
      </c>
      <c r="H11" s="298" t="s">
        <v>5639</v>
      </c>
      <c r="I11" s="298"/>
      <c r="J11" s="298"/>
      <c r="K11" s="303"/>
      <c r="L11" s="298"/>
      <c r="M11" s="298"/>
      <c r="N11" s="304">
        <v>162120</v>
      </c>
      <c r="O11" s="139" t="s">
        <v>11351</v>
      </c>
      <c r="P11" s="139"/>
      <c r="Q11" s="298" t="s">
        <v>11352</v>
      </c>
    </row>
    <row r="12" spans="1:17" x14ac:dyDescent="0.25">
      <c r="A12" s="298">
        <v>1576</v>
      </c>
      <c r="B12" s="148" t="s">
        <v>6712</v>
      </c>
      <c r="C12" s="299" t="s">
        <v>11300</v>
      </c>
      <c r="D12" s="300" t="s">
        <v>11353</v>
      </c>
      <c r="E12" s="301" t="s">
        <v>11354</v>
      </c>
      <c r="F12" s="302" t="s">
        <v>11355</v>
      </c>
      <c r="G12" s="138" t="s">
        <v>11356</v>
      </c>
      <c r="H12" s="298" t="s">
        <v>5639</v>
      </c>
      <c r="I12" s="298"/>
      <c r="J12" s="298"/>
      <c r="K12" s="303"/>
      <c r="L12" s="298"/>
      <c r="M12" s="298"/>
      <c r="N12" s="304">
        <v>788705</v>
      </c>
      <c r="O12" s="139" t="s">
        <v>11357</v>
      </c>
      <c r="P12" s="139"/>
      <c r="Q12" s="298" t="s">
        <v>11358</v>
      </c>
    </row>
    <row r="13" spans="1:17" x14ac:dyDescent="0.25">
      <c r="A13" s="298">
        <v>1577</v>
      </c>
      <c r="B13" s="148" t="s">
        <v>6714</v>
      </c>
      <c r="C13" s="299" t="s">
        <v>11300</v>
      </c>
      <c r="D13" s="300" t="s">
        <v>5061</v>
      </c>
      <c r="E13" s="301" t="s">
        <v>5062</v>
      </c>
      <c r="F13" s="302" t="s">
        <v>5063</v>
      </c>
      <c r="G13" s="138" t="s">
        <v>11359</v>
      </c>
      <c r="H13" s="298" t="s">
        <v>5639</v>
      </c>
      <c r="I13" s="298"/>
      <c r="J13" s="298"/>
      <c r="K13" s="303"/>
      <c r="L13" s="298"/>
      <c r="M13" s="298"/>
      <c r="N13" s="304">
        <v>267200</v>
      </c>
      <c r="O13" s="139" t="s">
        <v>11360</v>
      </c>
      <c r="P13" s="139"/>
      <c r="Q13" s="298" t="s">
        <v>11361</v>
      </c>
    </row>
    <row r="14" spans="1:17" x14ac:dyDescent="0.25">
      <c r="A14" s="298">
        <v>1578</v>
      </c>
      <c r="B14" s="148" t="s">
        <v>6717</v>
      </c>
      <c r="C14" s="299" t="s">
        <v>11300</v>
      </c>
      <c r="D14" s="300" t="s">
        <v>11362</v>
      </c>
      <c r="E14" s="301" t="s">
        <v>11363</v>
      </c>
      <c r="F14" s="302" t="s">
        <v>11364</v>
      </c>
      <c r="G14" s="138" t="s">
        <v>11365</v>
      </c>
      <c r="H14" s="298" t="s">
        <v>5639</v>
      </c>
      <c r="I14" s="298"/>
      <c r="J14" s="298"/>
      <c r="K14" s="303"/>
      <c r="L14" s="298"/>
      <c r="M14" s="298"/>
      <c r="N14" s="304">
        <v>325000</v>
      </c>
      <c r="O14" s="139" t="s">
        <v>11366</v>
      </c>
      <c r="P14" s="139"/>
      <c r="Q14" s="298" t="s">
        <v>11367</v>
      </c>
    </row>
  </sheetData>
  <autoFilter ref="P1"/>
  <dataValidations count="4">
    <dataValidation type="list" allowBlank="1" showInputMessage="1" showErrorMessage="1" sqref="I2:I14">
      <formula1>"Важно, Нейтрально, Очень важно,  ,"</formula1>
    </dataValidation>
    <dataValidation type="list" allowBlank="1" showInputMessage="1" showErrorMessage="1" sqref="H2:H14">
      <formula1>"КП сформировано, КП выслано, Был прозвон, Требуется звонок,  ,"</formula1>
    </dataValidation>
    <dataValidation type="list" allowBlank="1" showInputMessage="1" showErrorMessage="1" sqref="J2:J14">
      <formula1>"Гуц, Мандрыкин, Горячев, Зелизко Д., Зелизко С.И., "</formula1>
    </dataValidation>
    <dataValidation type="list" allowBlank="1" showInputMessage="1" showErrorMessage="1" sqref="M2:M14">
      <formula1>"Не требуется, В работе, Купили у нас, Уже купили,  "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</hyperlinks>
  <pageMargins left="0.7" right="0.7" top="0.75" bottom="0.75" header="0.3" footer="0.3"/>
  <pageSetup paperSize="0" orientation="portrait" r:id="rId14"/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7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25"/>
      <c r="B1" s="1"/>
      <c r="C1" s="326"/>
      <c r="D1" s="18"/>
      <c r="H1" s="332" t="s">
        <v>0</v>
      </c>
      <c r="I1" s="332"/>
      <c r="J1" s="332"/>
      <c r="K1" s="332"/>
      <c r="L1" s="3" t="s">
        <v>3</v>
      </c>
    </row>
    <row r="2" spans="1:14" x14ac:dyDescent="0.25">
      <c r="A2" s="325"/>
      <c r="B2" s="1"/>
      <c r="C2" s="326"/>
      <c r="D2" s="18"/>
      <c r="H2" s="332" t="s">
        <v>1</v>
      </c>
      <c r="I2" s="332"/>
      <c r="J2" s="332"/>
      <c r="K2" s="332"/>
      <c r="L2" s="3" t="s">
        <v>4</v>
      </c>
    </row>
    <row r="3" spans="1:14" ht="16.5" x14ac:dyDescent="0.25">
      <c r="A3" s="4"/>
      <c r="H3" s="319" t="s">
        <v>2</v>
      </c>
      <c r="I3" s="319"/>
      <c r="J3" s="319"/>
      <c r="K3" s="319"/>
      <c r="L3" s="5" t="s">
        <v>5</v>
      </c>
    </row>
    <row r="5" spans="1:14" ht="26.25" x14ac:dyDescent="0.25">
      <c r="G5" s="330" t="s">
        <v>10</v>
      </c>
      <c r="H5" s="330"/>
      <c r="I5" s="330"/>
      <c r="J5" s="330"/>
      <c r="K5" s="330"/>
      <c r="L5" s="330"/>
      <c r="M5" s="330"/>
      <c r="N5" s="330"/>
    </row>
    <row r="6" spans="1:14" ht="26.25" x14ac:dyDescent="0.4">
      <c r="G6" s="331" t="s">
        <v>6462</v>
      </c>
      <c r="H6" s="331"/>
      <c r="I6" s="331"/>
      <c r="J6" s="331"/>
      <c r="K6" s="331"/>
      <c r="L6" s="331"/>
      <c r="M6" s="331"/>
      <c r="N6" s="331"/>
    </row>
    <row r="7" spans="1:14" x14ac:dyDescent="0.25">
      <c r="N7" s="7"/>
    </row>
    <row r="8" spans="1:14" ht="26.25" customHeight="1" x14ac:dyDescent="0.25">
      <c r="G8" s="329" t="s">
        <v>6</v>
      </c>
      <c r="H8" s="329"/>
      <c r="I8" s="329"/>
      <c r="J8" s="320" t="s">
        <v>4503</v>
      </c>
      <c r="K8" s="320"/>
      <c r="L8" s="320"/>
      <c r="M8" s="320"/>
      <c r="N8" s="14"/>
    </row>
    <row r="9" spans="1:14" ht="19.5" customHeight="1" x14ac:dyDescent="0.25">
      <c r="G9" s="329" t="s">
        <v>7</v>
      </c>
      <c r="H9" s="329"/>
      <c r="I9" s="329"/>
      <c r="J9" s="320" t="s">
        <v>41</v>
      </c>
      <c r="K9" s="320"/>
      <c r="L9" s="320"/>
      <c r="M9" s="320"/>
      <c r="N9" s="14"/>
    </row>
    <row r="10" spans="1:14" ht="32.25" customHeight="1" x14ac:dyDescent="0.25">
      <c r="G10" s="329" t="s">
        <v>8</v>
      </c>
      <c r="H10" s="329"/>
      <c r="I10" s="329"/>
      <c r="J10" s="320" t="s">
        <v>6452</v>
      </c>
      <c r="K10" s="320"/>
      <c r="L10" s="320"/>
      <c r="M10" s="320"/>
      <c r="N10" s="14"/>
    </row>
    <row r="11" spans="1:14" ht="26.25" customHeight="1" x14ac:dyDescent="0.25">
      <c r="G11" s="329" t="s">
        <v>9</v>
      </c>
      <c r="H11" s="329"/>
      <c r="I11" s="329"/>
      <c r="J11" s="321" t="s">
        <v>6453</v>
      </c>
      <c r="K11" s="322"/>
      <c r="L11" s="322"/>
      <c r="M11" s="322"/>
      <c r="N11" s="15"/>
    </row>
    <row r="12" spans="1:14" ht="26.25" customHeight="1" x14ac:dyDescent="0.25">
      <c r="G12" s="327" t="s">
        <v>26</v>
      </c>
      <c r="H12" s="327"/>
      <c r="I12" s="327"/>
      <c r="J12" s="328" t="s">
        <v>6459</v>
      </c>
      <c r="K12" s="328"/>
      <c r="L12" s="328"/>
      <c r="M12" s="328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23" t="s">
        <v>27</v>
      </c>
      <c r="F15" s="323"/>
      <c r="G15" s="323"/>
      <c r="H15" s="323"/>
      <c r="I15" s="323"/>
      <c r="J15" s="323"/>
      <c r="K15" s="323"/>
      <c r="L15" s="323"/>
      <c r="M15" s="323"/>
      <c r="N15" s="323"/>
    </row>
    <row r="16" spans="1:14" ht="57" customHeight="1" x14ac:dyDescent="0.25">
      <c r="C16" s="324" t="s">
        <v>6463</v>
      </c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17"/>
    </row>
    <row r="18" spans="2:18" ht="32.25" customHeight="1" x14ac:dyDescent="0.25">
      <c r="C18" s="58" t="s">
        <v>16</v>
      </c>
      <c r="D18" s="318" t="s">
        <v>11</v>
      </c>
      <c r="E18" s="318"/>
      <c r="F18" s="318"/>
      <c r="G18" s="318"/>
      <c r="H18" s="318"/>
      <c r="I18" s="318" t="s">
        <v>12</v>
      </c>
      <c r="J18" s="318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07" t="s">
        <v>6455</v>
      </c>
      <c r="E19" s="307"/>
      <c r="F19" s="307"/>
      <c r="G19" s="307"/>
      <c r="H19" s="307"/>
      <c r="I19" s="308" t="s">
        <v>40</v>
      </c>
      <c r="J19" s="308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07" t="s">
        <v>6456</v>
      </c>
      <c r="E20" s="307"/>
      <c r="F20" s="307"/>
      <c r="G20" s="307"/>
      <c r="H20" s="307"/>
      <c r="I20" s="308" t="s">
        <v>40</v>
      </c>
      <c r="J20" s="308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10" t="s">
        <v>18</v>
      </c>
      <c r="K21" s="310"/>
      <c r="L21" s="310"/>
      <c r="M21" s="12">
        <f>SUM(M19:M20)</f>
        <v>38</v>
      </c>
      <c r="Q21" s="16"/>
      <c r="R21" s="16"/>
    </row>
    <row r="22" spans="2:18" ht="15.75" x14ac:dyDescent="0.25">
      <c r="J22" s="311" t="s">
        <v>17</v>
      </c>
      <c r="K22" s="311"/>
      <c r="L22" s="311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09"/>
      <c r="C25" s="309"/>
      <c r="D25" s="309"/>
      <c r="E25" s="309"/>
      <c r="F25" s="309"/>
      <c r="G25" s="309"/>
      <c r="H25" s="309"/>
      <c r="I25" s="309"/>
      <c r="J25" s="309"/>
      <c r="K25" s="309"/>
      <c r="L25" s="309"/>
      <c r="M25" s="309"/>
    </row>
    <row r="26" spans="2:18" x14ac:dyDescent="0.25">
      <c r="K26" s="6"/>
    </row>
    <row r="27" spans="2:18" s="50" customFormat="1" ht="21" customHeight="1" x14ac:dyDescent="0.25">
      <c r="C27" s="51"/>
      <c r="D27" s="314" t="s">
        <v>21</v>
      </c>
      <c r="E27" s="314"/>
      <c r="F27" s="313" t="s">
        <v>22</v>
      </c>
      <c r="G27" s="313"/>
      <c r="H27" s="313"/>
      <c r="I27" s="313"/>
      <c r="J27" s="313"/>
      <c r="K27" s="313"/>
      <c r="L27" s="313"/>
      <c r="M27" s="313"/>
    </row>
    <row r="28" spans="2:18" s="50" customFormat="1" ht="21" customHeight="1" x14ac:dyDescent="0.25">
      <c r="C28" s="51"/>
      <c r="D28" s="314" t="s">
        <v>23</v>
      </c>
      <c r="E28" s="314"/>
      <c r="F28" s="313" t="s">
        <v>51</v>
      </c>
      <c r="G28" s="313"/>
      <c r="H28" s="313"/>
      <c r="I28" s="313"/>
      <c r="J28" s="313"/>
      <c r="K28" s="313"/>
      <c r="L28" s="313"/>
      <c r="M28" s="313"/>
    </row>
    <row r="29" spans="2:18" s="50" customFormat="1" ht="32.25" customHeight="1" x14ac:dyDescent="0.25">
      <c r="C29" s="51"/>
      <c r="D29" s="315" t="s">
        <v>24</v>
      </c>
      <c r="E29" s="315"/>
      <c r="F29" s="317" t="s">
        <v>6464</v>
      </c>
      <c r="G29" s="317"/>
      <c r="H29" s="317"/>
      <c r="I29" s="317"/>
      <c r="J29" s="317"/>
      <c r="K29" s="317"/>
      <c r="L29" s="317"/>
      <c r="M29" s="64" t="s">
        <v>5644</v>
      </c>
    </row>
    <row r="30" spans="2:18" x14ac:dyDescent="0.25">
      <c r="M30" s="7"/>
    </row>
    <row r="41" spans="2:13" x14ac:dyDescent="0.25">
      <c r="C41" s="316" t="s">
        <v>25</v>
      </c>
      <c r="D41" s="316"/>
      <c r="E41" s="316"/>
      <c r="F41" s="316"/>
      <c r="G41" s="316"/>
      <c r="H41" s="316"/>
      <c r="I41" s="316"/>
      <c r="L41" s="312" t="s">
        <v>28</v>
      </c>
      <c r="M41" s="312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2021-03-24T06:58:32Z</dcterms:modified>
</cp:coreProperties>
</file>