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xampp\htdocs\TradeTable\Make_bd_form_excel\"/>
    </mc:Choice>
  </mc:AlternateContent>
  <bookViews>
    <workbookView xWindow="0" yWindow="0" windowWidth="25200" windowHeight="11685"/>
  </bookViews>
  <sheets>
    <sheet name="ЖурналИсхПисем" sheetId="4" r:id="rId1"/>
  </sheets>
  <functionGroups builtInGroupCount="18"/>
  <definedNames>
    <definedName name="_xlnm._FilterDatabase" localSheetId="0" hidden="1">ЖурналИсхПисем!$P$1:$P$1</definedName>
  </definedName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<sst xmlns="http://schemas.openxmlformats.org/spreadsheetml/2006/main" count="128" uniqueCount="107">
  <si>
    <t>Заказчик</t>
  </si>
  <si>
    <t>п/п</t>
  </si>
  <si>
    <t>Номер Исходящего</t>
  </si>
  <si>
    <t>Дата</t>
  </si>
  <si>
    <t>ИНН Получателя</t>
  </si>
  <si>
    <t>Контакты</t>
  </si>
  <si>
    <t>ID</t>
  </si>
  <si>
    <t>Статус КП</t>
  </si>
  <si>
    <t>Значимость КП</t>
  </si>
  <si>
    <t>Ответственный за КП</t>
  </si>
  <si>
    <t>Комментарий</t>
  </si>
  <si>
    <t>Результат</t>
  </si>
  <si>
    <t>Сумма КП</t>
  </si>
  <si>
    <t>Начальная сумма тендера</t>
  </si>
  <si>
    <t>КП выслано</t>
  </si>
  <si>
    <t>Адрес поставки</t>
  </si>
  <si>
    <t>Дата следующего звонка</t>
  </si>
  <si>
    <t>Контракт расторгнут/ закрыт</t>
  </si>
  <si>
    <t>603Е</t>
  </si>
  <si>
    <t>26.04.2021</t>
  </si>
  <si>
    <t>0326525490</t>
  </si>
  <si>
    <t>ООО «БУРЯТПРОЕКТРЕСТАВРАЦИЯ»</t>
  </si>
  <si>
    <t xml:space="preserve"> 8 (301) 237-17-43</t>
  </si>
  <si>
    <t>202103254955</t>
  </si>
  <si>
    <t>По графику 08.21-09.21</t>
  </si>
  <si>
    <t>361 512 467,00</t>
  </si>
  <si>
    <t>с. Курумкан, Курумканского района, Республики Бурятия</t>
  </si>
  <si>
    <t>604Е</t>
  </si>
  <si>
    <t>7203175930</t>
  </si>
  <si>
    <t>АО «ТОДЭП»</t>
  </si>
  <si>
    <t>7 (345) 220-85-70</t>
  </si>
  <si>
    <t>202103293936</t>
  </si>
  <si>
    <t>42 630 100,00</t>
  </si>
  <si>
    <t>Тюменская область, г. Ишим</t>
  </si>
  <si>
    <t>605Е</t>
  </si>
  <si>
    <t>2119006349</t>
  </si>
  <si>
    <t>ООО «ПЕРСПЕКТИВА»</t>
  </si>
  <si>
    <t>7 (927) 858-16-73</t>
  </si>
  <si>
    <t>202103312942</t>
  </si>
  <si>
    <t>14 322 133,62</t>
  </si>
  <si>
    <t>Чувашская Республика, Красночетайский район, с. Красные Четаи</t>
  </si>
  <si>
    <t>606Е</t>
  </si>
  <si>
    <t>682972633920</t>
  </si>
  <si>
    <t>Погосян Артур Геворгович</t>
  </si>
  <si>
    <t>7(910) 860-79-06
8 (484) 362-17-10</t>
  </si>
  <si>
    <t>202104095108</t>
  </si>
  <si>
    <t>1 998 748,00</t>
  </si>
  <si>
    <t>Калужская обл, г. Мосальск</t>
  </si>
  <si>
    <t>607Е</t>
  </si>
  <si>
    <t>4029040250</t>
  </si>
  <si>
    <t>ООО «Ремстрой-40»</t>
  </si>
  <si>
    <t>8 (919 )031-07-77
7 (484) 272-56-84</t>
  </si>
  <si>
    <t>202104134641</t>
  </si>
  <si>
    <t xml:space="preserve">работы с 01.08 по 01.09 </t>
  </si>
  <si>
    <t>42 511 950,00</t>
  </si>
  <si>
    <t>Брянская область, р-н Погарский, пгт Погар</t>
  </si>
  <si>
    <t>608Е</t>
  </si>
  <si>
    <t>2208010989</t>
  </si>
  <si>
    <t>ГУП ДХ АК «СЕВЕРО-ВОСТОЧНОЕ ДСУ»</t>
  </si>
  <si>
    <t>7 (385) 325-70-94</t>
  </si>
  <si>
    <t>202104150624</t>
  </si>
  <si>
    <t>11 000 000,00</t>
  </si>
  <si>
    <t>Алатйский Край, г.Барнаул</t>
  </si>
  <si>
    <t>609Е</t>
  </si>
  <si>
    <t>27.04.2021</t>
  </si>
  <si>
    <t>3808169860</t>
  </si>
  <si>
    <t>ООО «Подрядчик»</t>
  </si>
  <si>
    <t>7 (395) 272-83-10</t>
  </si>
  <si>
    <t>202103163536</t>
  </si>
  <si>
    <t>67 753 042,11</t>
  </si>
  <si>
    <t xml:space="preserve"> Железногорский район Курской области</t>
  </si>
  <si>
    <t>610Е</t>
  </si>
  <si>
    <t>2372000847</t>
  </si>
  <si>
    <t>ООО «ДСТК»</t>
  </si>
  <si>
    <t>7 (938) 404-43-74</t>
  </si>
  <si>
    <t>202103290633</t>
  </si>
  <si>
    <t>85 292 440,42</t>
  </si>
  <si>
    <t>Краснодарский край, Тихорецкий район, г. Тихорецк</t>
  </si>
  <si>
    <t>611Е</t>
  </si>
  <si>
    <t>5902191761</t>
  </si>
  <si>
    <t>ООО «Строительно-монтажный трест № 6»</t>
  </si>
  <si>
    <t>7 (342) 283-78-99
7 (342) 283-66-70</t>
  </si>
  <si>
    <t>202103315421</t>
  </si>
  <si>
    <t>485 473 210,80</t>
  </si>
  <si>
    <t>Пермский край, Пермь</t>
  </si>
  <si>
    <t>612Е</t>
  </si>
  <si>
    <t>2454025987</t>
  </si>
  <si>
    <t>ООО «СТРОЙ-ХОЛДИНГ»</t>
  </si>
  <si>
    <t>7 (391) 456-03-95</t>
  </si>
  <si>
    <t>202104145411</t>
  </si>
  <si>
    <t>37 880 860,00</t>
  </si>
  <si>
    <t xml:space="preserve"> Красноярский край, Енисейский район, с. Озерное</t>
  </si>
  <si>
    <t>613Е</t>
  </si>
  <si>
    <t>402715664766</t>
  </si>
  <si>
    <t>Маркосян Гарик Эдикович</t>
  </si>
  <si>
    <t>8 (953) 337-81-87</t>
  </si>
  <si>
    <t>202104165024</t>
  </si>
  <si>
    <t>Сразу звонить</t>
  </si>
  <si>
    <t>922 616,40</t>
  </si>
  <si>
    <t>Калужская обл, Медынский район, г. Медынь</t>
  </si>
  <si>
    <t>614Е</t>
  </si>
  <si>
    <t>4632031160</t>
  </si>
  <si>
    <t>ООО НПК «ТИТАН»</t>
  </si>
  <si>
    <t>7 (471) 250-25-93
7 (471) 250-25-89</t>
  </si>
  <si>
    <t>202104194342</t>
  </si>
  <si>
    <t>5 560 521,84</t>
  </si>
  <si>
    <t>Курская обл, Курск 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</si>
</sst>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0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0"/>
      <name val="Arial Cyr"/>
      <charset val="204"/>
    </font>
    <font>
      <sz val="10"/>
      <name val="Arial Cyr"/>
      <family val="2"/>
      <charset val="204"/>
    </font>
    <font>
      <sz val="10"/>
      <name val="Arial"/>
      <family val="2"/>
      <charset val="204"/>
    </font>
    <font>
      <sz val="7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8"/>
      <name val="Courier New"/>
      <family val="3"/>
      <charset val="204"/>
    </font>
    <font>
      <sz val="11"/>
      <color indexed="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3E001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">
    <xf numFmtId="0" fontId="0" fillId="0" borderId="0"/>
    <xf numFmtId="0" fontId="5" fillId="0" borderId="0" applyNumberFormat="0" applyFill="0" applyBorder="0" applyAlignment="0" applyProtection="0"/>
    <xf numFmtId="0" fontId="7" fillId="0" borderId="0"/>
    <xf numFmtId="0" fontId="8" fillId="0" borderId="0">
      <alignment vertical="top"/>
    </xf>
    <xf numFmtId="0" fontId="9" fillId="0" borderId="0"/>
    <xf numFmtId="0" fontId="7" fillId="0" borderId="0"/>
    <xf numFmtId="0" fontId="10" fillId="0" borderId="1">
      <alignment horizontal="left" vertical="top"/>
    </xf>
    <xf numFmtId="0" fontId="10" fillId="0" borderId="1">
      <alignment horizontal="right" vertical="top"/>
    </xf>
    <xf numFmtId="0" fontId="10" fillId="0" borderId="1">
      <alignment horizontal="left" vertical="top"/>
    </xf>
    <xf numFmtId="0" fontId="10" fillId="0" borderId="1">
      <alignment horizontal="right" vertical="top"/>
    </xf>
    <xf numFmtId="0" fontId="11" fillId="0" borderId="0"/>
    <xf numFmtId="0" fontId="12" fillId="0" borderId="0"/>
    <xf numFmtId="0" fontId="4" fillId="0" borderId="1">
      <alignment horizontal="center"/>
    </xf>
    <xf numFmtId="0" fontId="10" fillId="0" borderId="1">
      <alignment horizontal="left" vertical="top"/>
    </xf>
    <xf numFmtId="0" fontId="6" fillId="0" borderId="0"/>
    <xf numFmtId="0" fontId="13" fillId="0" borderId="0"/>
    <xf numFmtId="0" fontId="7" fillId="0" borderId="0"/>
  </cellStyleXfs>
  <cellXfs count="3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14" fontId="1" fillId="0" borderId="0" xfId="0" applyNumberFormat="1" applyFont="1"/>
    <xf numFmtId="49" fontId="1" fillId="0" borderId="0" xfId="0" applyNumberFormat="1" applyFont="1"/>
    <xf numFmtId="49" fontId="1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left"/>
    </xf>
    <xf numFmtId="0" fontId="1" fillId="4" borderId="0" xfId="0" applyFont="1" applyFill="1" applyAlignment="1">
      <alignment horizontal="center"/>
    </xf>
    <xf numFmtId="49" fontId="2" fillId="0" borderId="1" xfId="0" applyNumberFormat="1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14" fontId="1" fillId="0" borderId="1" xfId="0" applyNumberFormat="1" applyFont="1" applyBorder="1" applyAlignment="1">
      <alignment horizontal="center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3" fillId="2" borderId="1" xfId="0" applyNumberFormat="1" applyFont="1" applyFill="1" applyBorder="1" applyAlignment="1">
      <alignment horizontal="center" vertical="center" wrapText="1"/>
    </xf>
    <xf numFmtId="0" fontId="5" fillId="3" borderId="1" xfId="1" applyNumberFormat="1" applyFill="1" applyBorder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49" fontId="3" fillId="2" borderId="1" xfId="0" applyNumberFormat="1" applyFont="1" applyFill="1" applyBorder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 wrapText="1"/>
    </xf>
    <xf numFmtId="14" fontId="1" fillId="0" borderId="0" xfId="0" applyNumberFormat="1" applyFont="1" applyAlignment="1">
      <alignment horizontal="center" vertical="center" wrapText="1"/>
    </xf>
    <xf numFmtId="0" fontId="1" fillId="3" borderId="1" xfId="0" applyFont="1" applyFill="1" applyBorder="1"/>
    <xf numFmtId="14" fontId="1" fillId="3" borderId="1" xfId="0" applyNumberFormat="1" applyFont="1" applyFill="1" applyBorder="1"/>
    <xf numFmtId="49" fontId="2" fillId="3" borderId="1" xfId="0" applyNumberFormat="1" applyFont="1" applyFill="1" applyBorder="1" applyAlignment="1">
      <alignment horizontal="left"/>
    </xf>
    <xf numFmtId="49" fontId="5" fillId="3" borderId="1" xfId="1" applyNumberFormat="1" applyFill="1" applyBorder="1"/>
    <xf numFmtId="49" fontId="1" fillId="3" borderId="1" xfId="0" applyNumberFormat="1" applyFont="1" applyFill="1" applyBorder="1" applyAlignment="1"/>
    <xf numFmtId="0" fontId="1" fillId="3" borderId="1" xfId="0" applyFont="1" applyFill="1" applyBorder="1" applyAlignment="1"/>
    <xf numFmtId="4" fontId="1" fillId="3" borderId="1" xfId="0" applyNumberFormat="1" applyFont="1" applyFill="1" applyBorder="1"/>
    <xf numFmtId="0" fontId="1" fillId="0" borderId="1" xfId="0" applyFont="1" applyFill="1" applyBorder="1" applyAlignment="1"/>
  </cellXfs>
  <cellStyles count="17">
    <cellStyle name="Excel Built-in Normal" xfId="15"/>
    <cellStyle name="Normal" xfId="11"/>
    <cellStyle name="S16" xfId="13"/>
    <cellStyle name="S17" xfId="6"/>
    <cellStyle name="S18" xfId="7"/>
    <cellStyle name="S8" xfId="9"/>
    <cellStyle name="S9" xfId="8"/>
    <cellStyle name="Гиперссылка" xfId="1" builtinId="8"/>
    <cellStyle name="ЛокСмМТСН" xfId="3"/>
    <cellStyle name="Обычный" xfId="0" builtinId="0"/>
    <cellStyle name="Обычный 10 4" xfId="10"/>
    <cellStyle name="Обычный 2" xfId="2"/>
    <cellStyle name="Обычный 2 103 49" xfId="14"/>
    <cellStyle name="Обычный 2 2 2" xfId="5"/>
    <cellStyle name="Обычный 5" xfId="16"/>
    <cellStyle name="Обычный 99" xfId="4"/>
    <cellStyle name="РесСмета" xfId="1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1962150</xdr:colOff>
          <xdr:row>0</xdr:row>
          <xdr:rowOff>114300</xdr:rowOff>
        </xdr:from>
        <xdr:to>
          <xdr:col>5</xdr:col>
          <xdr:colOff>542925</xdr:colOff>
          <xdr:row>0</xdr:row>
          <xdr:rowOff>695325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Создать БЛ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zakupki.kontur.ru/0137300019021000023?searchHash=fe5edeb122b68543d3e4129dd869d852885d6902" TargetMode="External"/><Relationship Id="rId13" Type="http://schemas.openxmlformats.org/officeDocument/2006/relationships/hyperlink" Target="EXCEL\&#8470;609&#1045;%20&#1086;&#1090;%2027.04.2021%20&#1054;&#1054;&#1054;%20&#1055;&#1086;&#1076;&#1088;&#1103;&#1076;&#1095;&#1080;&#1082;%20(&#1050;&#1055;%20&#1082;%20&#1079;&#1072;&#1082;&#1091;&#1087;&#1082;&#1077;&#8470;0844200000321000003)%20&#1054;&#1054;&#1054;%20&#1058;&#1044;%20&#1040;&#1053;&#1052;&#1040;&#1050;&#1057;.xlsx" TargetMode="External"/><Relationship Id="rId18" Type="http://schemas.openxmlformats.org/officeDocument/2006/relationships/hyperlink" Target="https://zakupki.kontur.ru/0156300008721000084?searchHash=453ea38c7df6f16baa2acea4ae2497ffd9e83ca0" TargetMode="External"/><Relationship Id="rId26" Type="http://schemas.openxmlformats.org/officeDocument/2006/relationships/drawing" Target="../drawings/drawing1.xml"/><Relationship Id="rId3" Type="http://schemas.openxmlformats.org/officeDocument/2006/relationships/hyperlink" Target="EXCEL\&#8470;604&#1045;%20&#1086;&#1090;%2026.04.2021%20&#1040;&#1054;%20&#1058;&#1054;&#1044;&#1069;&#1055;%20(&#1050;&#1055;%20&#1082;%20&#1079;&#1072;&#1082;&#1091;&#1087;&#1082;&#1077;&#8470;32110128581)%20&#1054;&#1054;&#1054;%20&#1058;&#1044;%20&#1040;&#1053;&#1052;&#1040;&#1050;&#1057;.xlsx" TargetMode="External"/><Relationship Id="rId21" Type="http://schemas.openxmlformats.org/officeDocument/2006/relationships/hyperlink" Target="EXCEL\&#8470;613&#1045;%20&#1086;&#1090;%2027.04.2021%20&#1052;&#1072;&#1088;&#1082;&#1086;&#1089;&#1103;&#1085;%20&#1043;&#1072;&#1088;&#1080;&#1082;%20&#1069;&#1076;&#1080;&#1082;&#1086;&#1074;&#1080;&#1095;%20(&#1050;&#1055;%20&#1082;%20&#1079;&#1072;&#1082;&#1091;&#1087;&#1082;&#1077;&#8470;0137300011021000016)%20&#1054;&#1054;&#1054;%20&#1058;&#1044;%20&#1040;&#1053;&#1052;&#1040;&#1050;&#1057;.xlsx" TargetMode="External"/><Relationship Id="rId7" Type="http://schemas.openxmlformats.org/officeDocument/2006/relationships/hyperlink" Target="EXCEL\&#8470;606&#1045;%20&#1086;&#1090;%2026.04.2021%20&#1055;&#1086;&#1075;&#1086;&#1089;&#1103;&#1085;%20&#1040;&#1088;&#1090;&#1091;&#1088;%20&#1043;&#1077;&#1074;&#1086;&#1088;&#1075;&#1086;&#1074;&#1080;&#1095;%20(&#1050;&#1055;%20&#1082;%20&#1079;&#1072;&#1082;&#1091;&#1087;&#1082;&#1077;&#8470;0137300019021000023)%20&#1054;&#1054;&#1054;%20&#1058;&#1044;%20&#1040;&#1053;&#1052;&#1040;&#1050;&#1057;.xlsx" TargetMode="External"/><Relationship Id="rId12" Type="http://schemas.openxmlformats.org/officeDocument/2006/relationships/hyperlink" Target="https://zakupki.kontur.ru/0817200000321003909?searchHash=795d52c29142aaed4e6fa951d08204116b813e93" TargetMode="External"/><Relationship Id="rId17" Type="http://schemas.openxmlformats.org/officeDocument/2006/relationships/hyperlink" Target="EXCEL\&#8470;611&#1045;%20&#1086;&#1090;%2027.04.2021%20&#1054;&#1054;&#1054;%20&#1057;&#1090;&#1088;&#1086;&#1080;&#1090;&#1077;&#1083;&#1100;&#1085;&#1086;-&#1084;&#1086;&#1085;&#1090;&#1072;&#1078;&#1085;&#1099;&#1081;%20&#1090;&#1088;&#1077;&#1089;&#1090;%20&#8470;%206%20(&#1050;&#1055;%20&#1082;%20&#1079;&#1072;&#1082;&#1091;&#1087;&#1082;&#1077;&#8470;0156300008721000084)%20&#1054;&#1054;&#1054;%20&#1058;&#1044;%20&#1040;&#1053;&#1052;&#1040;&#1050;&#1057;.xlsx" TargetMode="External"/><Relationship Id="rId25" Type="http://schemas.openxmlformats.org/officeDocument/2006/relationships/printerSettings" Target="../printerSettings/printerSettings1.bin"/><Relationship Id="rId2" Type="http://schemas.openxmlformats.org/officeDocument/2006/relationships/hyperlink" Target="https://zakupki.kontur.ru/0102200001621000937?searchHash=0afc19cf09121b211e73d95240b645f7da5d3a38" TargetMode="External"/><Relationship Id="rId16" Type="http://schemas.openxmlformats.org/officeDocument/2006/relationships/hyperlink" Target="https://zakupki.kontur.ru/0318300010721000076?searchHash=a32c65cc6f6842948fef1865376d8c8a087133c7" TargetMode="External"/><Relationship Id="rId20" Type="http://schemas.openxmlformats.org/officeDocument/2006/relationships/hyperlink" Target="https://zakupki.kontur.ru/0819300002021000048?searchHash=5dbd2ea2b067da449000300b1881965a200d2b9e" TargetMode="External"/><Relationship Id="rId1" Type="http://schemas.openxmlformats.org/officeDocument/2006/relationships/hyperlink" Target="EXCEL\&#8470;603&#1045;%20&#1086;&#1090;%2026.04.2021%20&#1054;&#1054;&#1054;%20&#1041;&#1059;&#1056;&#1071;&#1058;&#1055;&#1056;&#1054;&#1045;&#1050;&#1058;&#1056;&#1045;&#1057;&#1058;&#1040;&#1042;&#1056;&#1040;&#1062;&#1048;&#1071;%20(&#1050;&#1055;%20&#1082;%20&#1079;&#1072;&#1082;&#1091;&#1087;&#1082;&#1077;&#8470;0102200001621000937)%20&#1054;&#1054;&#1054;%20&#1058;&#1044;%20&#1040;&#1053;&#1052;&#1040;&#1050;&#1057;.xlsx" TargetMode="External"/><Relationship Id="rId6" Type="http://schemas.openxmlformats.org/officeDocument/2006/relationships/hyperlink" Target="https://zakupki.kontur.ru/32110138372?searchHash=3c9bd48904c4468f4d35690d5bbe30fbc4a9b54c" TargetMode="External"/><Relationship Id="rId11" Type="http://schemas.openxmlformats.org/officeDocument/2006/relationships/hyperlink" Target="EXCEL\&#8470;608&#1045;%20&#1086;&#1090;%2026.04.2021%20&#1043;&#1059;&#1055;%20&#1044;&#1061;%20&#1040;&#1050;%20&#1057;&#1045;&#1042;&#1045;&#1056;&#1054;-&#1042;&#1054;&#1057;&#1058;&#1054;&#1063;&#1053;&#1054;&#1045;%20&#1044;&#1057;&#1059;%20(&#1050;&#1055;%20&#1082;%20&#1079;&#1072;&#1082;&#1091;&#1087;&#1082;&#1077;&#8470;0817200000321003909)%20&#1054;&#1054;&#1054;%20&#1058;&#1044;%20&#1040;&#1053;&#1052;&#1040;&#1050;&#1057;.xlsx" TargetMode="External"/><Relationship Id="rId24" Type="http://schemas.openxmlformats.org/officeDocument/2006/relationships/hyperlink" Target="https://zakupki.kontur.ru/0144300004021000130?searchHash=7d8b97573d22ef34a37830e3ca69bde12ad4e636" TargetMode="External"/><Relationship Id="rId5" Type="http://schemas.openxmlformats.org/officeDocument/2006/relationships/hyperlink" Target="EXCEL\&#8470;605&#1045;%20&#1086;&#1090;%2026.04.2021%20&#1054;&#1054;&#1054;%20&#1055;&#1045;&#1056;&#1057;&#1055;&#1045;&#1050;&#1058;&#1048;&#1042;&#1040;%20(&#1050;&#1055;%20&#1082;%20&#1079;&#1072;&#1082;&#1091;&#1087;&#1082;&#1077;&#8470;32110138372)%20&#1054;&#1054;&#1054;%20&#1058;&#1044;%20&#1040;&#1053;&#1052;&#1040;&#1050;&#1057;.xlsx" TargetMode="External"/><Relationship Id="rId15" Type="http://schemas.openxmlformats.org/officeDocument/2006/relationships/hyperlink" Target="EXCEL\&#8470;610&#1045;%20&#1086;&#1090;%2027.04.2021%20&#1054;&#1054;&#1054;%20&#1044;&#1057;&#1058;&#1050;%20(&#1050;&#1055;%20&#1082;%20&#1079;&#1072;&#1082;&#1091;&#1087;&#1082;&#1077;&#8470;0318300010721000076)%20&#1054;&#1054;&#1054;%20&#1058;&#1044;%20&#1040;&#1053;&#1052;&#1040;&#1050;&#1057;.xlsx" TargetMode="External"/><Relationship Id="rId23" Type="http://schemas.openxmlformats.org/officeDocument/2006/relationships/hyperlink" Target="EXCEL\&#8470;614&#1045;%20&#1086;&#1090;%2027.04.2021%20&#1054;&#1054;&#1054;%20&#1053;&#1055;&#1050;%20&#1058;&#1048;&#1058;&#1040;&#1053;%20(&#1050;&#1055;%20&#1082;%20&#1079;&#1072;&#1082;&#1091;&#1087;&#1082;&#1077;&#8470;0144300004021000130)%20&#1054;&#1054;&#1054;%20&#1058;&#1044;%20&#1040;&#1053;&#1052;&#1040;&#1050;&#1057;.xlsx" TargetMode="External"/><Relationship Id="rId28" Type="http://schemas.openxmlformats.org/officeDocument/2006/relationships/ctrlProp" Target="../ctrlProps/ctrlProp1.xml"/><Relationship Id="rId10" Type="http://schemas.openxmlformats.org/officeDocument/2006/relationships/hyperlink" Target="https://zakupki.kontur.ru/0127200000221001738?searchHash=1e3c4844750f0b7709decc824d3c564cf775d73a" TargetMode="External"/><Relationship Id="rId19" Type="http://schemas.openxmlformats.org/officeDocument/2006/relationships/hyperlink" Target="EXCEL\&#8470;612&#1045;%20&#1086;&#1090;%2027.04.2021%20&#1054;&#1054;&#1054;%20&#1057;&#1058;&#1056;&#1054;&#1049;-&#1061;&#1054;&#1051;&#1044;&#1048;&#1053;&#1043;%20(&#1050;&#1055;%20&#1082;%20&#1079;&#1072;&#1082;&#1091;&#1087;&#1082;&#1077;&#8470;0819300002021000048)%20&#1054;&#1054;&#1054;%20&#1058;&#1044;%20&#1040;&#1053;&#1052;&#1040;&#1050;&#1057;.xlsx" TargetMode="External"/><Relationship Id="rId4" Type="http://schemas.openxmlformats.org/officeDocument/2006/relationships/hyperlink" Target="https://zakupki.kontur.ru/32110128581?searchHash=cac535e50cf94c6cd0562758620cff247ec97ccc" TargetMode="External"/><Relationship Id="rId9" Type="http://schemas.openxmlformats.org/officeDocument/2006/relationships/hyperlink" Target="EXCEL\&#8470;607&#1045;%20&#1086;&#1090;%2026.04.2021%20&#1054;&#1054;&#1054;%20&#1056;&#1077;&#1084;&#1089;&#1090;&#1088;&#1086;&#1081;-40%20(&#1050;&#1055;%20&#1082;%20&#1079;&#1072;&#1082;&#1091;&#1087;&#1082;&#1077;&#8470;0127200000221001738)%20&#1054;&#1054;&#1054;%20&#1058;&#1044;%20&#1040;&#1053;&#1052;&#1040;&#1050;&#1057;.xlsx" TargetMode="External"/><Relationship Id="rId14" Type="http://schemas.openxmlformats.org/officeDocument/2006/relationships/hyperlink" Target="https://zakupki.kontur.ru/0844200000321000003?searchHash=55ae1de2da464ab19955657469b8c6b6d9bf2d28" TargetMode="External"/><Relationship Id="rId22" Type="http://schemas.openxmlformats.org/officeDocument/2006/relationships/hyperlink" Target="https://zakupki.kontur.ru/0137300011021000016?searchHash=06f2c0d11aa18b485e474fc9b86a8bfdfa090c21" TargetMode="External"/><Relationship Id="rId27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R13"/>
  <sheetViews>
    <sheetView tabSelected="1" workbookViewId="0">
      <selection activeCell="A2" sqref="A2:XFD13"/>
    </sheetView>
  </sheetViews>
  <sheetFormatPr defaultRowHeight="15" x14ac:dyDescent="0.25"/>
  <cols>
    <col min="1" max="1" width="9.140625" style="1"/>
    <col min="2" max="2" width="12.5703125" style="17" customWidth="1"/>
    <col min="3" max="3" width="13.140625" style="3" customWidth="1"/>
    <col min="4" max="4" width="13.5703125" style="6" customWidth="1"/>
    <col min="5" max="5" width="43.5703125" style="4" customWidth="1"/>
    <col min="6" max="6" width="32.85546875" style="19" customWidth="1"/>
    <col min="7" max="7" width="19.7109375" style="5" customWidth="1"/>
    <col min="8" max="8" width="18.5703125" style="1" customWidth="1"/>
    <col min="9" max="9" width="5.42578125" style="1" customWidth="1"/>
    <col min="10" max="10" width="14.28515625" style="1" customWidth="1"/>
    <col min="11" max="11" width="26" style="19" customWidth="1"/>
    <col min="12" max="12" width="23.7109375" style="22" customWidth="1"/>
    <col min="13" max="13" width="11.42578125" style="1" customWidth="1"/>
    <col min="14" max="14" width="12.5703125" style="1" bestFit="1" customWidth="1"/>
    <col min="15" max="15" width="16.85546875" style="2" customWidth="1"/>
    <col min="16" max="16" width="14.5703125" style="7" customWidth="1"/>
    <col min="17" max="16384" width="9.140625" style="1"/>
  </cols>
  <sheetData>
    <row r="1" spans="1:18" ht="60" x14ac:dyDescent="0.25">
      <c r="A1" s="9" t="s">
        <v>1</v>
      </c>
      <c r="B1" s="15" t="s">
        <v>2</v>
      </c>
      <c r="C1" s="10" t="s">
        <v>3</v>
      </c>
      <c r="D1" s="8" t="s">
        <v>4</v>
      </c>
      <c r="E1" s="11" t="s">
        <v>0</v>
      </c>
      <c r="F1" s="18" t="s">
        <v>5</v>
      </c>
      <c r="G1" s="11" t="s">
        <v>6</v>
      </c>
      <c r="H1" s="9" t="s">
        <v>7</v>
      </c>
      <c r="I1" s="9" t="s">
        <v>8</v>
      </c>
      <c r="J1" s="9" t="s">
        <v>9</v>
      </c>
      <c r="K1" s="20" t="s">
        <v>10</v>
      </c>
      <c r="L1" s="21" t="s">
        <v>16</v>
      </c>
      <c r="M1" s="9" t="s">
        <v>11</v>
      </c>
      <c r="N1" s="9" t="s">
        <v>12</v>
      </c>
      <c r="O1" s="9" t="s">
        <v>13</v>
      </c>
      <c r="P1" s="12" t="s">
        <v>17</v>
      </c>
      <c r="Q1" s="9" t="s">
        <v>15</v>
      </c>
    </row>
    <row r="2" spans="1:18" x14ac:dyDescent="0.25">
      <c r="A2" s="23">
        <v>603</v>
      </c>
      <c r="B2" s="16" t="s">
        <v>18</v>
      </c>
      <c r="C2" s="24" t="s">
        <v>19</v>
      </c>
      <c r="D2" s="25" t="s">
        <v>20</v>
      </c>
      <c r="E2" s="26" t="s">
        <v>21</v>
      </c>
      <c r="F2" s="27" t="s">
        <v>22</v>
      </c>
      <c r="G2" s="13" t="s">
        <v>23</v>
      </c>
      <c r="H2" s="23" t="s">
        <v>14</v>
      </c>
      <c r="I2" s="23"/>
      <c r="J2" s="23"/>
      <c r="K2" s="28" t="s">
        <v>24</v>
      </c>
      <c r="L2" s="23"/>
      <c r="M2" s="23"/>
      <c r="N2" s="29">
        <v>661690</v>
      </c>
      <c r="O2" s="14" t="s">
        <v>25</v>
      </c>
      <c r="P2" s="14"/>
      <c r="Q2" s="23" t="s">
        <v>26</v>
      </c>
      <c r="R2" s="23">
        <v>1</v>
      </c>
    </row>
    <row r="3" spans="1:18" x14ac:dyDescent="0.25">
      <c r="A3" s="23">
        <v>604</v>
      </c>
      <c r="B3" s="16" t="s">
        <v>27</v>
      </c>
      <c r="C3" s="24" t="s">
        <v>19</v>
      </c>
      <c r="D3" s="25" t="s">
        <v>28</v>
      </c>
      <c r="E3" s="26" t="s">
        <v>29</v>
      </c>
      <c r="F3" s="27" t="s">
        <v>30</v>
      </c>
      <c r="G3" s="13" t="s">
        <v>31</v>
      </c>
      <c r="H3" s="23" t="s">
        <v>14</v>
      </c>
      <c r="I3" s="23"/>
      <c r="J3" s="23"/>
      <c r="K3" s="28"/>
      <c r="L3" s="23"/>
      <c r="M3" s="23"/>
      <c r="N3" s="29">
        <v>231450</v>
      </c>
      <c r="O3" s="14" t="s">
        <v>32</v>
      </c>
      <c r="P3" s="14"/>
      <c r="Q3" s="23" t="s">
        <v>33</v>
      </c>
      <c r="R3" s="23">
        <v>1</v>
      </c>
    </row>
    <row r="4" spans="1:18" x14ac:dyDescent="0.25">
      <c r="A4" s="23">
        <v>605</v>
      </c>
      <c r="B4" s="16" t="s">
        <v>34</v>
      </c>
      <c r="C4" s="24" t="s">
        <v>19</v>
      </c>
      <c r="D4" s="25" t="s">
        <v>35</v>
      </c>
      <c r="E4" s="26" t="s">
        <v>36</v>
      </c>
      <c r="F4" s="27" t="s">
        <v>37</v>
      </c>
      <c r="G4" s="13" t="s">
        <v>38</v>
      </c>
      <c r="H4" s="23" t="s">
        <v>14</v>
      </c>
      <c r="I4" s="23"/>
      <c r="J4" s="23"/>
      <c r="K4" s="28"/>
      <c r="L4" s="23"/>
      <c r="M4" s="23"/>
      <c r="N4" s="29">
        <v>781050</v>
      </c>
      <c r="O4" s="14" t="s">
        <v>39</v>
      </c>
      <c r="P4" s="14"/>
      <c r="Q4" s="23" t="s">
        <v>40</v>
      </c>
      <c r="R4" s="23">
        <v>5</v>
      </c>
    </row>
    <row r="5" spans="1:18" x14ac:dyDescent="0.25">
      <c r="A5" s="23">
        <v>606</v>
      </c>
      <c r="B5" s="16" t="s">
        <v>41</v>
      </c>
      <c r="C5" s="24" t="s">
        <v>19</v>
      </c>
      <c r="D5" s="25" t="s">
        <v>42</v>
      </c>
      <c r="E5" s="26" t="s">
        <v>43</v>
      </c>
      <c r="F5" s="27" t="s">
        <v>44</v>
      </c>
      <c r="G5" s="13" t="s">
        <v>45</v>
      </c>
      <c r="H5" s="23" t="s">
        <v>14</v>
      </c>
      <c r="I5" s="23"/>
      <c r="J5" s="23"/>
      <c r="K5" s="28"/>
      <c r="L5" s="23"/>
      <c r="M5" s="23"/>
      <c r="N5" s="29">
        <v>314500</v>
      </c>
      <c r="O5" s="14" t="s">
        <v>46</v>
      </c>
      <c r="P5" s="14"/>
      <c r="Q5" s="23" t="s">
        <v>47</v>
      </c>
      <c r="R5" s="23">
        <v>1</v>
      </c>
    </row>
    <row r="6" spans="1:18" x14ac:dyDescent="0.25">
      <c r="A6" s="23">
        <v>607</v>
      </c>
      <c r="B6" s="16" t="s">
        <v>48</v>
      </c>
      <c r="C6" s="24" t="s">
        <v>19</v>
      </c>
      <c r="D6" s="25" t="s">
        <v>49</v>
      </c>
      <c r="E6" s="26" t="s">
        <v>50</v>
      </c>
      <c r="F6" s="27" t="s">
        <v>51</v>
      </c>
      <c r="G6" s="13" t="s">
        <v>52</v>
      </c>
      <c r="H6" s="23" t="s">
        <v>14</v>
      </c>
      <c r="I6" s="23"/>
      <c r="J6" s="23"/>
      <c r="K6" s="28" t="s">
        <v>53</v>
      </c>
      <c r="L6" s="23"/>
      <c r="M6" s="23"/>
      <c r="N6" s="29">
        <v>268510</v>
      </c>
      <c r="O6" s="14" t="s">
        <v>54</v>
      </c>
      <c r="P6" s="14"/>
      <c r="Q6" s="23" t="s">
        <v>55</v>
      </c>
      <c r="R6" s="23">
        <v>1</v>
      </c>
    </row>
    <row r="7" spans="1:18" x14ac:dyDescent="0.25">
      <c r="A7" s="23">
        <v>608</v>
      </c>
      <c r="B7" s="16" t="s">
        <v>56</v>
      </c>
      <c r="C7" s="24" t="s">
        <v>19</v>
      </c>
      <c r="D7" s="25" t="s">
        <v>57</v>
      </c>
      <c r="E7" s="26" t="s">
        <v>58</v>
      </c>
      <c r="F7" s="27" t="s">
        <v>59</v>
      </c>
      <c r="G7" s="13" t="s">
        <v>60</v>
      </c>
      <c r="H7" s="23" t="s">
        <v>14</v>
      </c>
      <c r="I7" s="23"/>
      <c r="J7" s="23"/>
      <c r="K7" s="28"/>
      <c r="L7" s="23"/>
      <c r="M7" s="23"/>
      <c r="N7" s="29">
        <v>1720600</v>
      </c>
      <c r="O7" s="14" t="s">
        <v>61</v>
      </c>
      <c r="P7" s="14"/>
      <c r="Q7" s="23" t="s">
        <v>62</v>
      </c>
      <c r="R7" s="23">
        <v>1</v>
      </c>
    </row>
    <row r="8" spans="1:18" x14ac:dyDescent="0.25">
      <c r="A8" s="23">
        <v>609</v>
      </c>
      <c r="B8" s="16" t="s">
        <v>63</v>
      </c>
      <c r="C8" s="24" t="s">
        <v>64</v>
      </c>
      <c r="D8" s="25" t="s">
        <v>65</v>
      </c>
      <c r="E8" s="26" t="s">
        <v>66</v>
      </c>
      <c r="F8" s="27" t="s">
        <v>67</v>
      </c>
      <c r="G8" s="13" t="s">
        <v>68</v>
      </c>
      <c r="H8" s="23" t="s">
        <v>14</v>
      </c>
      <c r="I8" s="23"/>
      <c r="J8" s="23"/>
      <c r="K8" s="28"/>
      <c r="L8" s="23"/>
      <c r="M8" s="23"/>
      <c r="N8" s="29">
        <v>171310</v>
      </c>
      <c r="O8" s="14" t="s">
        <v>69</v>
      </c>
      <c r="P8" s="14"/>
      <c r="Q8" s="23" t="s">
        <v>70</v>
      </c>
      <c r="R8" s="23">
        <v>1</v>
      </c>
    </row>
    <row r="9" spans="1:18" x14ac:dyDescent="0.25">
      <c r="A9" s="23">
        <v>610</v>
      </c>
      <c r="B9" s="16" t="s">
        <v>71</v>
      </c>
      <c r="C9" s="24" t="s">
        <v>64</v>
      </c>
      <c r="D9" s="25" t="s">
        <v>72</v>
      </c>
      <c r="E9" s="26" t="s">
        <v>73</v>
      </c>
      <c r="F9" s="27" t="s">
        <v>74</v>
      </c>
      <c r="G9" s="13" t="s">
        <v>75</v>
      </c>
      <c r="H9" s="23" t="s">
        <v>14</v>
      </c>
      <c r="I9" s="23"/>
      <c r="J9" s="23"/>
      <c r="K9" s="28"/>
      <c r="L9" s="23"/>
      <c r="M9" s="23"/>
      <c r="N9" s="29">
        <v>166205</v>
      </c>
      <c r="O9" s="14" t="s">
        <v>76</v>
      </c>
      <c r="P9" s="14"/>
      <c r="Q9" s="23" t="s">
        <v>77</v>
      </c>
      <c r="R9" s="23">
        <v>2</v>
      </c>
    </row>
    <row r="10" spans="1:18" x14ac:dyDescent="0.25">
      <c r="A10" s="23">
        <v>611</v>
      </c>
      <c r="B10" s="16" t="s">
        <v>78</v>
      </c>
      <c r="C10" s="24" t="s">
        <v>64</v>
      </c>
      <c r="D10" s="25" t="s">
        <v>79</v>
      </c>
      <c r="E10" s="26" t="s">
        <v>80</v>
      </c>
      <c r="F10" s="27" t="s">
        <v>81</v>
      </c>
      <c r="G10" s="13" t="s">
        <v>82</v>
      </c>
      <c r="H10" s="23" t="s">
        <v>14</v>
      </c>
      <c r="I10" s="23"/>
      <c r="J10" s="23"/>
      <c r="K10" s="28"/>
      <c r="L10" s="23"/>
      <c r="M10" s="23"/>
      <c r="N10" s="29">
        <v>122890</v>
      </c>
      <c r="O10" s="14" t="s">
        <v>83</v>
      </c>
      <c r="P10" s="14"/>
      <c r="Q10" s="23" t="s">
        <v>84</v>
      </c>
      <c r="R10" s="23">
        <v>1</v>
      </c>
    </row>
    <row r="11" spans="1:18" x14ac:dyDescent="0.25">
      <c r="A11" s="23">
        <v>612</v>
      </c>
      <c r="B11" s="16" t="s">
        <v>85</v>
      </c>
      <c r="C11" s="24" t="s">
        <v>64</v>
      </c>
      <c r="D11" s="25" t="s">
        <v>86</v>
      </c>
      <c r="E11" s="26" t="s">
        <v>87</v>
      </c>
      <c r="F11" s="27" t="s">
        <v>88</v>
      </c>
      <c r="G11" s="13" t="s">
        <v>89</v>
      </c>
      <c r="H11" s="23" t="s">
        <v>14</v>
      </c>
      <c r="I11" s="23"/>
      <c r="J11" s="23"/>
      <c r="K11" s="28"/>
      <c r="L11" s="23"/>
      <c r="M11" s="23"/>
      <c r="N11" s="29">
        <v>52470</v>
      </c>
      <c r="O11" s="14" t="s">
        <v>90</v>
      </c>
      <c r="P11" s="14"/>
      <c r="Q11" s="23" t="s">
        <v>91</v>
      </c>
      <c r="R11" s="23">
        <v>2</v>
      </c>
    </row>
    <row r="12" spans="1:18" x14ac:dyDescent="0.25">
      <c r="A12" s="23">
        <v>613</v>
      </c>
      <c r="B12" s="16" t="s">
        <v>92</v>
      </c>
      <c r="C12" s="24" t="s">
        <v>64</v>
      </c>
      <c r="D12" s="25" t="s">
        <v>93</v>
      </c>
      <c r="E12" s="26" t="s">
        <v>94</v>
      </c>
      <c r="F12" s="27" t="s">
        <v>95</v>
      </c>
      <c r="G12" s="13" t="s">
        <v>96</v>
      </c>
      <c r="H12" s="23" t="s">
        <v>14</v>
      </c>
      <c r="I12" s="23"/>
      <c r="J12" s="23"/>
      <c r="K12" s="30" t="s">
        <v>97</v>
      </c>
      <c r="L12" s="23"/>
      <c r="M12" s="23"/>
      <c r="N12" s="29">
        <v>576000</v>
      </c>
      <c r="O12" s="14" t="s">
        <v>98</v>
      </c>
      <c r="P12" s="14"/>
      <c r="Q12" s="23" t="s">
        <v>99</v>
      </c>
      <c r="R12" s="23">
        <v>1</v>
      </c>
    </row>
    <row r="13" spans="1:18" x14ac:dyDescent="0.25">
      <c r="A13" s="23">
        <v>614</v>
      </c>
      <c r="B13" s="16" t="s">
        <v>100</v>
      </c>
      <c r="C13" s="24" t="s">
        <v>64</v>
      </c>
      <c r="D13" s="25" t="s">
        <v>101</v>
      </c>
      <c r="E13" s="26" t="s">
        <v>102</v>
      </c>
      <c r="F13" s="27" t="s">
        <v>103</v>
      </c>
      <c r="G13" s="13" t="s">
        <v>104</v>
      </c>
      <c r="H13" s="23" t="s">
        <v>14</v>
      </c>
      <c r="I13" s="23"/>
      <c r="J13" s="23"/>
      <c r="K13" s="28"/>
      <c r="L13" s="23"/>
      <c r="M13" s="23"/>
      <c r="N13" s="29">
        <v>202900</v>
      </c>
      <c r="O13" s="14" t="s">
        <v>105</v>
      </c>
      <c r="P13" s="14"/>
      <c r="Q13" s="23" t="s">
        <v>106</v>
      </c>
      <c r="R13" s="23">
        <v>1</v>
      </c>
    </row>
  </sheetData>
  <autoFilter ref="P1"/>
  <dataValidations count="4">
    <dataValidation type="list" allowBlank="1" showInputMessage="1" showErrorMessage="1" sqref="I2:I13">
      <formula1>"Важно, Нейтрально, Очень важно,  ,"</formula1>
    </dataValidation>
    <dataValidation type="list" allowBlank="1" showInputMessage="1" showErrorMessage="1" sqref="H2:H13">
      <formula1>"КП сформировано, КП выслано, Был прозвон, Требуется звонок,  ,"</formula1>
    </dataValidation>
    <dataValidation type="list" allowBlank="1" showInputMessage="1" showErrorMessage="1" sqref="J2:J13">
      <formula1>"Гуц, Мандрыкин, Горячев, Зелизко Д., Зелизко С.И., "</formula1>
    </dataValidation>
    <dataValidation type="list" allowBlank="1" showInputMessage="1" showErrorMessage="1" sqref="M2:M13">
      <formula1>"Не требуется, В работе, Купили у нас, Уже купили,  "</formula1>
    </dataValidation>
  </dataValidations>
  <hyperlinks>
    <hyperlink ref="B2" r:id="rId1"/>
    <hyperlink ref="E2" r:id="rId2"/>
    <hyperlink ref="B3" r:id="rId3"/>
    <hyperlink ref="E3" r:id="rId4"/>
    <hyperlink ref="B4" r:id="rId5"/>
    <hyperlink ref="E4" r:id="rId6"/>
    <hyperlink ref="B5" r:id="rId7"/>
    <hyperlink ref="E5" r:id="rId8"/>
    <hyperlink ref="B6" r:id="rId9"/>
    <hyperlink ref="E6" r:id="rId10"/>
    <hyperlink ref="B7" r:id="rId11"/>
    <hyperlink ref="E7" r:id="rId12"/>
    <hyperlink ref="B8" r:id="rId13"/>
    <hyperlink ref="E8" r:id="rId14"/>
    <hyperlink ref="B9" r:id="rId15"/>
    <hyperlink ref="E9" r:id="rId16"/>
    <hyperlink ref="B10" r:id="rId17"/>
    <hyperlink ref="E10" r:id="rId18"/>
    <hyperlink ref="B11" r:id="rId19"/>
    <hyperlink ref="E11" r:id="rId20"/>
    <hyperlink ref="B12" r:id="rId21"/>
    <hyperlink ref="E12" r:id="rId22"/>
    <hyperlink ref="B13" r:id="rId23"/>
    <hyperlink ref="E13" r:id="rId24"/>
  </hyperlinks>
  <pageMargins left="0.7" right="0.7" top="0.75" bottom="0.75" header="0.3" footer="0.3"/>
  <pageSetup paperSize="0" orientation="portrait" r:id="rId25"/>
  <drawing r:id="rId26"/>
  <legacyDrawing r:id="rId2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28" name="Button 3">
              <controlPr defaultSize="0" print="0" autoFill="0" autoPict="0" macro="[0]!InsertString">
                <anchor moveWithCells="1" sizeWithCells="1">
                  <from>
                    <xdr:col>4</xdr:col>
                    <xdr:colOff>1962150</xdr:colOff>
                    <xdr:row>0</xdr:row>
                    <xdr:rowOff>114300</xdr:rowOff>
                  </from>
                  <to>
                    <xdr:col>5</xdr:col>
                    <xdr:colOff>542925</xdr:colOff>
                    <xdr:row>0</xdr:row>
                    <xdr:rowOff>695325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ЖурналИсхПисем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</dc:creator>
  <cp:lastModifiedBy>Dom</cp:lastModifiedBy>
  <cp:lastPrinted>2020-08-14T05:53:23Z</cp:lastPrinted>
  <dcterms:created xsi:type="dcterms:W3CDTF">2020-04-07T07:09:38Z</dcterms:created>
  <dcterms:modified xsi:type="dcterms:W3CDTF">2021-04-27T09:20:36Z</dcterms:modified>
</cp:coreProperties>
</file>