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xampp\htdocs\TradeTable\Make_bd_form_excel\"/>
    </mc:Choice>
  </mc:AlternateContent>
  <bookViews>
    <workbookView xWindow="0" yWindow="0" windowWidth="25200" windowHeight="11685"/>
  </bookViews>
  <sheets>
    <sheet name="ЖурналИсхПисем" sheetId="4" r:id="rId1"/>
  </sheets>
  <functionGroups builtInGroupCount="18"/>
  <definedNames>
    <definedName name="_xlnm._FilterDatabase" localSheetId="0" hidden="1">ЖурналИсхПисем!$P$1:$P$1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<sst xmlns="http://schemas.openxmlformats.org/spreadsheetml/2006/main" count="146" uniqueCount="121">
  <si>
    <t>Заказчик</t>
  </si>
  <si>
    <t>п/п</t>
  </si>
  <si>
    <t>Номер Исходящего</t>
  </si>
  <si>
    <t>Дата</t>
  </si>
  <si>
    <t>ИНН Получателя</t>
  </si>
  <si>
    <t>Контакты</t>
  </si>
  <si>
    <t>ID</t>
  </si>
  <si>
    <t>Статус КП</t>
  </si>
  <si>
    <t>Значимость КП</t>
  </si>
  <si>
    <t>Ответственный за КП</t>
  </si>
  <si>
    <t>Комментарий</t>
  </si>
  <si>
    <t>Результат</t>
  </si>
  <si>
    <t>Сумма КП</t>
  </si>
  <si>
    <t>Начальная сумма тендера</t>
  </si>
  <si>
    <t>КП выслано</t>
  </si>
  <si>
    <t>Адрес поставки</t>
  </si>
  <si>
    <t>Дата следующего звонка</t>
  </si>
  <si>
    <t>Контракт расторгнут/ закрыт</t>
  </si>
  <si>
    <t>615Е</t>
  </si>
  <si>
    <t>28.04.2021</t>
  </si>
  <si>
    <t>7722770040</t>
  </si>
  <si>
    <t>ООО «И-Групп»</t>
  </si>
  <si>
    <t>7 (495) 670-07-70
7 (916) 869-00-63</t>
  </si>
  <si>
    <t>202103250530</t>
  </si>
  <si>
    <t>621 706 642,64</t>
  </si>
  <si>
    <t>город Москва; территории в пойме реки Чермянки от улицы Мусорского до проезда Дежнева</t>
  </si>
  <si>
    <t>616Е</t>
  </si>
  <si>
    <t>7728425146</t>
  </si>
  <si>
    <t>ООО «ДРСУ-1»</t>
  </si>
  <si>
    <t>7 (903) 798-18-17</t>
  </si>
  <si>
    <t>202103261030</t>
  </si>
  <si>
    <t>Штыбко</t>
  </si>
  <si>
    <t>146 704 210,00</t>
  </si>
  <si>
    <t>Московская область, г. Истра</t>
  </si>
  <si>
    <t>617Е</t>
  </si>
  <si>
    <t>4909129513</t>
  </si>
  <si>
    <t>ООО «МАГСТРОЙ»</t>
  </si>
  <si>
    <t>7 (914) 544-48-70
8 (413) 220-03-45</t>
  </si>
  <si>
    <t>202104024159</t>
  </si>
  <si>
    <t>52 194 980,00</t>
  </si>
  <si>
    <t>Магаданская область, город Магадан</t>
  </si>
  <si>
    <t>618Е</t>
  </si>
  <si>
    <t>4007020275</t>
  </si>
  <si>
    <t>ООО «ИРИС»</t>
  </si>
  <si>
    <t>7 (484) 325-30-73
7 (484) 325-36-56</t>
  </si>
  <si>
    <t>202104120026</t>
  </si>
  <si>
    <t>1 082 661,60</t>
  </si>
  <si>
    <t>Калужская обл, г. Юхнов</t>
  </si>
  <si>
    <t>619Е</t>
  </si>
  <si>
    <t>7017376043</t>
  </si>
  <si>
    <t>ООО «СМУ-13»</t>
  </si>
  <si>
    <t>7 (382) 240-39-30
7 (382) 257-37-72</t>
  </si>
  <si>
    <t>202104131306</t>
  </si>
  <si>
    <t>27 918 541,78</t>
  </si>
  <si>
    <t>Томская область, Томский район, село Калтай</t>
  </si>
  <si>
    <t>620Е</t>
  </si>
  <si>
    <t>3123368865</t>
  </si>
  <si>
    <t>ООО «СМП-1»</t>
  </si>
  <si>
    <t>7 (951) 145-50-00
7 (472) 220-76-97</t>
  </si>
  <si>
    <t>202104150418</t>
  </si>
  <si>
    <t>21 901 825,70</t>
  </si>
  <si>
    <t>Белгородская обл, г. Старый Оскол</t>
  </si>
  <si>
    <t>621Е</t>
  </si>
  <si>
    <t>5262353980</t>
  </si>
  <si>
    <t>ООО «ЗЕНИТ»</t>
  </si>
  <si>
    <t>7 (960) 180-17-50
244-93-45</t>
  </si>
  <si>
    <t>202104203000</t>
  </si>
  <si>
    <t>Горячев</t>
  </si>
  <si>
    <t>16 194 471,25</t>
  </si>
  <si>
    <t>Нижний Новгород</t>
  </si>
  <si>
    <t>622Е</t>
  </si>
  <si>
    <t>29.04.2021</t>
  </si>
  <si>
    <t>7734709107</t>
  </si>
  <si>
    <t>ООО «ПРИМАСЕРВИС»</t>
  </si>
  <si>
    <t>7 (916) 436-74-01</t>
  </si>
  <si>
    <t>202104092836</t>
  </si>
  <si>
    <t>19 292 309,94</t>
  </si>
  <si>
    <t>город Москва</t>
  </si>
  <si>
    <t>623Е</t>
  </si>
  <si>
    <t>3906194576</t>
  </si>
  <si>
    <t>ООО «Севзапдорстрой»</t>
  </si>
  <si>
    <t>8 (401) 257-31-19
7 (911) 457-72-31</t>
  </si>
  <si>
    <t>202104131054</t>
  </si>
  <si>
    <t>2 100 000,00</t>
  </si>
  <si>
    <t>Калининградская обл, Багратионовский р-н, Долгоруково п</t>
  </si>
  <si>
    <t>624Е</t>
  </si>
  <si>
    <t>0562058873</t>
  </si>
  <si>
    <t>ООО «СМУ-55»</t>
  </si>
  <si>
    <t>7 (495) 988-25-56</t>
  </si>
  <si>
    <t>202104160036</t>
  </si>
  <si>
    <t>8,2 км метал борт + еще</t>
  </si>
  <si>
    <t>180 000 000,00</t>
  </si>
  <si>
    <t>Московская область, город Лобня,  территория парка культуры и отдыха на ул.Ленина</t>
  </si>
  <si>
    <t>625Е</t>
  </si>
  <si>
    <t>660306999000</t>
  </si>
  <si>
    <t>Федотов Дмитрий Сергеевич</t>
  </si>
  <si>
    <t>7 (900) 385-34-93</t>
  </si>
  <si>
    <t>202104195632</t>
  </si>
  <si>
    <t>1 564 872,00</t>
  </si>
  <si>
    <t>Тюменская область, Ханты-Мансийский автономный округ - Югра, г.Белоярский</t>
  </si>
  <si>
    <t>626Е</t>
  </si>
  <si>
    <t>6454124382</t>
  </si>
  <si>
    <t>ООО «ИНЖКОНСАЛТСТРОЙ»</t>
  </si>
  <si>
    <t>8 (909) 335-88-19</t>
  </si>
  <si>
    <t>202104205036</t>
  </si>
  <si>
    <t>1 288 650,00</t>
  </si>
  <si>
    <t>Саратовская обл, Саратов г</t>
  </si>
  <si>
    <t>627Е</t>
  </si>
  <si>
    <t>9729267231</t>
  </si>
  <si>
    <t>ООО «СТРОЙСТАНДАРТ»</t>
  </si>
  <si>
    <t>7 (966) 192-21-95</t>
  </si>
  <si>
    <t>202104202323</t>
  </si>
  <si>
    <t>86 782 207,16</t>
  </si>
  <si>
    <t>г.Углич, Ярославской области</t>
  </si>
  <si>
    <t>628Е</t>
  </si>
  <si>
    <t>183506829070</t>
  </si>
  <si>
    <t>Санникова Замира Мизрофовна</t>
  </si>
  <si>
    <t>8 (950) 150-08-11
7 (912) 456-87-46</t>
  </si>
  <si>
    <t>202104212853</t>
  </si>
  <si>
    <t>2 060 000,00</t>
  </si>
  <si>
    <t>с. Сюмси, Сюмсинского района, Удмуртская республика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</si>
</sst>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0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0"/>
      <name val="Arial Cyr"/>
      <charset val="204"/>
    </font>
    <font>
      <sz val="10"/>
      <name val="Arial Cyr"/>
      <family val="2"/>
      <charset val="204"/>
    </font>
    <font>
      <sz val="10"/>
      <name val="Arial"/>
      <family val="2"/>
      <charset val="204"/>
    </font>
    <font>
      <sz val="7"/>
      <color theme="1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8"/>
      <name val="Courier New"/>
      <family val="3"/>
      <charset val="204"/>
    </font>
    <font>
      <sz val="11"/>
      <color indexed="8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3E001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7">
    <xf numFmtId="0" fontId="0" fillId="0" borderId="0"/>
    <xf numFmtId="0" fontId="5" fillId="0" borderId="0" applyNumberFormat="0" applyFill="0" applyBorder="0" applyAlignment="0" applyProtection="0"/>
    <xf numFmtId="0" fontId="7" fillId="0" borderId="0"/>
    <xf numFmtId="0" fontId="8" fillId="0" borderId="0">
      <alignment vertical="top"/>
    </xf>
    <xf numFmtId="0" fontId="9" fillId="0" borderId="0"/>
    <xf numFmtId="0" fontId="7" fillId="0" borderId="0"/>
    <xf numFmtId="0" fontId="10" fillId="0" borderId="1">
      <alignment horizontal="left" vertical="top"/>
    </xf>
    <xf numFmtId="0" fontId="10" fillId="0" borderId="1">
      <alignment horizontal="right" vertical="top"/>
    </xf>
    <xf numFmtId="0" fontId="10" fillId="0" borderId="1">
      <alignment horizontal="left" vertical="top"/>
    </xf>
    <xf numFmtId="0" fontId="10" fillId="0" borderId="1">
      <alignment horizontal="right" vertical="top"/>
    </xf>
    <xf numFmtId="0" fontId="11" fillId="0" borderId="0"/>
    <xf numFmtId="0" fontId="12" fillId="0" borderId="0"/>
    <xf numFmtId="0" fontId="4" fillId="0" borderId="1">
      <alignment horizontal="center"/>
    </xf>
    <xf numFmtId="0" fontId="10" fillId="0" borderId="1">
      <alignment horizontal="left" vertical="top"/>
    </xf>
    <xf numFmtId="0" fontId="6" fillId="0" borderId="0"/>
    <xf numFmtId="0" fontId="13" fillId="0" borderId="0"/>
    <xf numFmtId="0" fontId="7" fillId="0" borderId="0"/>
  </cellStyleXfs>
  <cellXfs count="30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14" fontId="1" fillId="0" borderId="0" xfId="0" applyNumberFormat="1" applyFont="1"/>
    <xf numFmtId="49" fontId="1" fillId="0" borderId="0" xfId="0" applyNumberFormat="1" applyFont="1"/>
    <xf numFmtId="49" fontId="1" fillId="0" borderId="0" xfId="0" applyNumberFormat="1" applyFont="1" applyAlignment="1">
      <alignment horizontal="center"/>
    </xf>
    <xf numFmtId="49" fontId="2" fillId="0" borderId="0" xfId="0" applyNumberFormat="1" applyFont="1" applyAlignment="1">
      <alignment horizontal="left"/>
    </xf>
    <xf numFmtId="0" fontId="1" fillId="4" borderId="0" xfId="0" applyFont="1" applyFill="1" applyAlignment="1">
      <alignment horizontal="center"/>
    </xf>
    <xf numFmtId="49" fontId="2" fillId="0" borderId="1" xfId="0" applyNumberFormat="1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14" fontId="1" fillId="0" borderId="1" xfId="0" applyNumberFormat="1" applyFont="1" applyBorder="1" applyAlignment="1">
      <alignment horizontal="center" vertical="center" wrapText="1"/>
    </xf>
    <xf numFmtId="49" fontId="1" fillId="0" borderId="1" xfId="0" applyNumberFormat="1" applyFont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3" fillId="2" borderId="1" xfId="0" applyNumberFormat="1" applyFont="1" applyFill="1" applyBorder="1" applyAlignment="1">
      <alignment horizontal="center" vertical="center" wrapText="1"/>
    </xf>
    <xf numFmtId="0" fontId="5" fillId="3" borderId="1" xfId="1" applyNumberFormat="1" applyFill="1" applyBorder="1" applyAlignment="1">
      <alignment horizontal="center" vertical="center"/>
    </xf>
    <xf numFmtId="0" fontId="1" fillId="0" borderId="0" xfId="0" applyNumberFormat="1" applyFont="1" applyAlignment="1">
      <alignment horizontal="center" vertical="center"/>
    </xf>
    <xf numFmtId="49" fontId="3" fillId="2" borderId="1" xfId="0" applyNumberFormat="1" applyFont="1" applyFill="1" applyBorder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14" fontId="3" fillId="2" borderId="1" xfId="0" applyNumberFormat="1" applyFont="1" applyFill="1" applyBorder="1" applyAlignment="1">
      <alignment horizontal="center" vertical="center" wrapText="1"/>
    </xf>
    <xf numFmtId="14" fontId="1" fillId="0" borderId="0" xfId="0" applyNumberFormat="1" applyFont="1" applyAlignment="1">
      <alignment horizontal="center" vertical="center" wrapText="1"/>
    </xf>
    <xf numFmtId="0" fontId="1" fillId="3" borderId="1" xfId="0" applyFont="1" applyFill="1" applyBorder="1"/>
    <xf numFmtId="14" fontId="1" fillId="3" borderId="1" xfId="0" applyNumberFormat="1" applyFont="1" applyFill="1" applyBorder="1"/>
    <xf numFmtId="49" fontId="2" fillId="3" borderId="1" xfId="0" applyNumberFormat="1" applyFont="1" applyFill="1" applyBorder="1" applyAlignment="1">
      <alignment horizontal="left"/>
    </xf>
    <xf numFmtId="49" fontId="5" fillId="3" borderId="1" xfId="1" applyNumberFormat="1" applyFill="1" applyBorder="1"/>
    <xf numFmtId="49" fontId="1" fillId="3" borderId="1" xfId="0" applyNumberFormat="1" applyFont="1" applyFill="1" applyBorder="1" applyAlignment="1"/>
    <xf numFmtId="0" fontId="1" fillId="3" borderId="1" xfId="0" applyFont="1" applyFill="1" applyBorder="1" applyAlignment="1"/>
    <xf numFmtId="4" fontId="1" fillId="3" borderId="1" xfId="0" applyNumberFormat="1" applyFont="1" applyFill="1" applyBorder="1"/>
  </cellXfs>
  <cellStyles count="17">
    <cellStyle name="Excel Built-in Normal" xfId="15"/>
    <cellStyle name="Normal" xfId="11"/>
    <cellStyle name="S16" xfId="13"/>
    <cellStyle name="S17" xfId="6"/>
    <cellStyle name="S18" xfId="7"/>
    <cellStyle name="S8" xfId="9"/>
    <cellStyle name="S9" xfId="8"/>
    <cellStyle name="Гиперссылка" xfId="1" builtinId="8"/>
    <cellStyle name="ЛокСмМТСН" xfId="3"/>
    <cellStyle name="Обычный" xfId="0" builtinId="0"/>
    <cellStyle name="Обычный 10 4" xfId="10"/>
    <cellStyle name="Обычный 2" xfId="2"/>
    <cellStyle name="Обычный 2 103 49" xfId="14"/>
    <cellStyle name="Обычный 2 2 2" xfId="5"/>
    <cellStyle name="Обычный 5" xfId="16"/>
    <cellStyle name="Обычный 99" xfId="4"/>
    <cellStyle name="РесСмета" xfId="1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1962150</xdr:colOff>
          <xdr:row>0</xdr:row>
          <xdr:rowOff>114300</xdr:rowOff>
        </xdr:from>
        <xdr:to>
          <xdr:col>5</xdr:col>
          <xdr:colOff>542925</xdr:colOff>
          <xdr:row>0</xdr:row>
          <xdr:rowOff>695325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Создать БЛ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zakupki.kontur.ru/0337300060321000001?searchHash=fb35b90c32506434a59d1891d4203065da52aeab" TargetMode="External"/><Relationship Id="rId13" Type="http://schemas.openxmlformats.org/officeDocument/2006/relationships/hyperlink" Target="EXCEL\&#8470;621&#1045;%20&#1086;&#1090;%2028.04.2021%20&#1054;&#1054;&#1054;%20&#1047;&#1045;&#1053;&#1048;&#1058;%20(&#1050;&#1055;%20&#1082;%20&#1079;&#1072;&#1082;&#1091;&#1087;&#1082;&#1077;&#8470;0132300007521000265)%20&#1054;&#1054;&#1054;%20&#1058;&#1044;%20&#1040;&#1053;&#1052;&#1040;&#1050;&#1057;.xlsx" TargetMode="External"/><Relationship Id="rId18" Type="http://schemas.openxmlformats.org/officeDocument/2006/relationships/hyperlink" Target="https://zakupki.kontur.ru/0135300006421000076?searchHash=ec20ef55b8af570810f62e6f374f1a86b4905b0a" TargetMode="External"/><Relationship Id="rId26" Type="http://schemas.openxmlformats.org/officeDocument/2006/relationships/hyperlink" Target="https://zakupki.kontur.ru/0171200001921000565?searchHash=a62b55d19abb4c58fe7ff1173d13188cd6edd131" TargetMode="External"/><Relationship Id="rId3" Type="http://schemas.openxmlformats.org/officeDocument/2006/relationships/hyperlink" Target="EXCEL\&#8470;616&#1045;%20&#1086;&#1090;%2028.04.2021%20&#1054;&#1054;&#1054;%20&#1044;&#1056;&#1057;&#1059;-1%20(&#1050;&#1055;%20&#1082;%20&#1079;&#1072;&#1082;&#1091;&#1087;&#1082;&#1077;&#8470;0148200005421000159)%20&#1054;&#1054;&#1054;%20&#1058;&#1044;%20&#1040;&#1053;&#1052;&#1040;&#1050;&#1057;.xlsx" TargetMode="External"/><Relationship Id="rId21" Type="http://schemas.openxmlformats.org/officeDocument/2006/relationships/hyperlink" Target="EXCEL\&#8470;625&#1045;%20&#1086;&#1090;%2029.04.2021%20&#1060;&#1077;&#1076;&#1086;&#1090;&#1086;&#1074;%20&#1044;&#1084;&#1080;&#1090;&#1088;&#1080;&#1081;%20&#1057;&#1077;&#1088;&#1075;&#1077;&#1077;&#1074;&#1080;&#1095;%20(&#1050;&#1055;%20&#1082;%20&#1079;&#1072;&#1082;&#1091;&#1087;&#1082;&#1077;&#8470;0187300008521000066)%20&#1054;&#1054;&#1054;%20&#1058;&#1044;%20&#1040;&#1053;&#1052;&#1040;&#1050;&#1057;.xlsx" TargetMode="External"/><Relationship Id="rId7" Type="http://schemas.openxmlformats.org/officeDocument/2006/relationships/hyperlink" Target="EXCEL\&#8470;618&#1045;%20&#1086;&#1090;%2028.04.2021%20&#1054;&#1054;&#1054;%20&#1048;&#1056;&#1048;&#1057;%20(&#1050;&#1055;%20&#1082;%20&#1079;&#1072;&#1082;&#1091;&#1087;&#1082;&#1077;&#8470;0337300060321000001)%20&#1054;&#1054;&#1054;%20&#1058;&#1044;%20&#1040;&#1053;&#1052;&#1040;&#1050;&#1057;.xlsx" TargetMode="External"/><Relationship Id="rId12" Type="http://schemas.openxmlformats.org/officeDocument/2006/relationships/hyperlink" Target="https://zakupki.kontur.ru/0826300021021000143?searchHash=79c542be05a4fb911c601429af0736199eca5cc9" TargetMode="External"/><Relationship Id="rId17" Type="http://schemas.openxmlformats.org/officeDocument/2006/relationships/hyperlink" Target="EXCEL\&#8470;623&#1045;%20&#1086;&#1090;%2029.04.2021%20&#1054;&#1054;&#1054;%20&#1057;&#1077;&#1074;&#1079;&#1072;&#1087;&#1076;&#1086;&#1088;&#1089;&#1090;&#1088;&#1086;&#1081;%20(&#1050;&#1055;%20&#1082;%20&#1079;&#1072;&#1082;&#1091;&#1087;&#1082;&#1077;&#8470;0135300006421000076)%20&#1054;&#1054;&#1054;%20&#1058;&#1044;%20&#1040;&#1053;&#1052;&#1040;&#1050;&#1057;.xlsx" TargetMode="External"/><Relationship Id="rId25" Type="http://schemas.openxmlformats.org/officeDocument/2006/relationships/hyperlink" Target="EXCEL\&#8470;627&#1045;%20&#1086;&#1090;%2029.04.2021%20&#1054;&#1054;&#1054;%20&#1057;&#1058;&#1056;&#1054;&#1049;&#1057;&#1058;&#1040;&#1053;&#1044;&#1040;&#1056;&#1058;%20(&#1050;&#1055;%20&#1082;%20&#1079;&#1072;&#1082;&#1091;&#1087;&#1082;&#1077;&#8470;0171200001921000565)%20&#1054;&#1054;&#1054;%20&#1058;&#1044;%20&#1040;&#1053;&#1052;&#1040;&#1050;&#1057;.xlsx" TargetMode="External"/><Relationship Id="rId2" Type="http://schemas.openxmlformats.org/officeDocument/2006/relationships/hyperlink" Target="https://zakupki.kontur.ru/0173200001421000410?searchHash=83f9aa82822ff024e84429a5a192fef0f9427a8f" TargetMode="External"/><Relationship Id="rId16" Type="http://schemas.openxmlformats.org/officeDocument/2006/relationships/hyperlink" Target="https://zakupki.kontur.ru/0373200555821000004?searchHash=bca2807077b69957dc945af6e74b4cf4e9e51b89" TargetMode="External"/><Relationship Id="rId20" Type="http://schemas.openxmlformats.org/officeDocument/2006/relationships/hyperlink" Target="https://zakupki.kontur.ru/0148200005421000241?searchHash=912a36eab95243757da9b5f3dfc2d76ae99b5704" TargetMode="External"/><Relationship Id="rId29" Type="http://schemas.openxmlformats.org/officeDocument/2006/relationships/printerSettings" Target="../printerSettings/printerSettings1.bin"/><Relationship Id="rId1" Type="http://schemas.openxmlformats.org/officeDocument/2006/relationships/hyperlink" Target="EXCEL\&#8470;615&#1045;%20&#1086;&#1090;%2028.04.2021%20&#1054;&#1054;&#1054;%20&#1048;-&#1043;&#1088;&#1091;&#1087;&#1087;%20(&#1050;&#1055;%20&#1082;%20&#1079;&#1072;&#1082;&#1091;&#1087;&#1082;&#1077;&#8470;0173200001421000410)%20&#1054;&#1054;&#1054;%20&#1058;&#1044;%20&#1040;&#1053;&#1052;&#1040;&#1050;&#1057;.xlsx" TargetMode="External"/><Relationship Id="rId6" Type="http://schemas.openxmlformats.org/officeDocument/2006/relationships/hyperlink" Target="https://zakupki.kontur.ru/0347300000521000125?searchHash=518628e9da8e05ba71c029b02f26799cb94cd3e1" TargetMode="External"/><Relationship Id="rId11" Type="http://schemas.openxmlformats.org/officeDocument/2006/relationships/hyperlink" Target="EXCEL\&#8470;620&#1045;%20&#1086;&#1090;%2028.04.2021%20&#1054;&#1054;&#1054;%20&#1057;&#1052;&#1055;-1%20(&#1050;&#1055;%20&#1082;%20&#1079;&#1072;&#1082;&#1091;&#1087;&#1082;&#1077;&#8470;0826300021021000143)%20&#1054;&#1054;&#1054;%20&#1058;&#1044;%20&#1040;&#1053;&#1052;&#1040;&#1050;&#1057;.xlsx" TargetMode="External"/><Relationship Id="rId24" Type="http://schemas.openxmlformats.org/officeDocument/2006/relationships/hyperlink" Target="https://zakupki.kontur.ru/0360300007321000018?searchHash=3fc103cd96045c1c9404f4540118b5cf92d93683" TargetMode="External"/><Relationship Id="rId32" Type="http://schemas.openxmlformats.org/officeDocument/2006/relationships/ctrlProp" Target="../ctrlProps/ctrlProp1.xml"/><Relationship Id="rId5" Type="http://schemas.openxmlformats.org/officeDocument/2006/relationships/hyperlink" Target="EXCEL\&#8470;617&#1045;%20&#1086;&#1090;%2028.04.2021%20&#1054;&#1054;&#1054;%20&#1052;&#1040;&#1043;&#1057;&#1058;&#1056;&#1054;&#1049;%20(&#1050;&#1055;%20&#1082;%20&#1079;&#1072;&#1082;&#1091;&#1087;&#1082;&#1077;&#8470;0347300000521000125)%20&#1054;&#1054;&#1054;%20&#1058;&#1044;%20&#1040;&#1053;&#1052;&#1040;&#1050;&#1057;.xlsx" TargetMode="External"/><Relationship Id="rId15" Type="http://schemas.openxmlformats.org/officeDocument/2006/relationships/hyperlink" Target="EXCEL\&#8470;622&#1045;%20&#1086;&#1090;%2029.04.2021%20&#1054;&#1054;&#1054;%20&#1055;&#1056;&#1048;&#1052;&#1040;&#1057;&#1045;&#1056;&#1042;&#1048;&#1057;%20(&#1050;&#1055;%20&#1082;%20&#1079;&#1072;&#1082;&#1091;&#1087;&#1082;&#1077;&#8470;0373200555821000004)%20&#1054;&#1054;&#1054;%20&#1058;&#1044;%20&#1040;&#1053;&#1052;&#1040;&#1050;&#1057;.xlsx" TargetMode="External"/><Relationship Id="rId23" Type="http://schemas.openxmlformats.org/officeDocument/2006/relationships/hyperlink" Target="EXCEL\&#8470;626&#1045;%20&#1086;&#1090;%2029.04.2021%20&#1054;&#1054;&#1054;%20&#1048;&#1053;&#1046;&#1050;&#1054;&#1053;&#1057;&#1040;&#1051;&#1058;&#1057;&#1058;&#1056;&#1054;&#1049;%20(&#1050;&#1055;%20&#1082;%20&#1079;&#1072;&#1082;&#1091;&#1087;&#1082;&#1077;&#8470;0360300007321000018)%20&#1054;&#1054;&#1054;%20&#1058;&#1044;%20&#1040;&#1053;&#1052;&#1040;&#1050;&#1057;.xlsx" TargetMode="External"/><Relationship Id="rId28" Type="http://schemas.openxmlformats.org/officeDocument/2006/relationships/hyperlink" Target="https://zakupki.kontur.ru/0813500000121004717?searchHash=ccf84a91a1a044f87110cdee21236fce08256eb2" TargetMode="External"/><Relationship Id="rId10" Type="http://schemas.openxmlformats.org/officeDocument/2006/relationships/hyperlink" Target="https://zakupki.kontur.ru/0865200000321000592?searchHash=ec20ef55b8af570810f62e6f374f1a86b4905b0a" TargetMode="External"/><Relationship Id="rId19" Type="http://schemas.openxmlformats.org/officeDocument/2006/relationships/hyperlink" Target="EXCEL\&#8470;624&#1045;%20&#1086;&#1090;%2029.04.2021%20&#1054;&#1054;&#1054;%20&#1057;&#1052;&#1059;-55%20(&#1050;&#1055;%20&#1082;%20&#1079;&#1072;&#1082;&#1091;&#1087;&#1082;&#1077;&#8470;0148200005421000241)%20&#1054;&#1054;&#1054;%20&#1058;&#1044;%20&#1040;&#1053;&#1052;&#1040;&#1050;&#1057;.xlsx" TargetMode="External"/><Relationship Id="rId31" Type="http://schemas.openxmlformats.org/officeDocument/2006/relationships/vmlDrawing" Target="../drawings/vmlDrawing1.vml"/><Relationship Id="rId4" Type="http://schemas.openxmlformats.org/officeDocument/2006/relationships/hyperlink" Target="https://zakupki.kontur.ru/0148200005421000159?searchHash=31a839d9350562f99e8c06c72337f1c2a32f5db5" TargetMode="External"/><Relationship Id="rId9" Type="http://schemas.openxmlformats.org/officeDocument/2006/relationships/hyperlink" Target="EXCEL\&#8470;619&#1045;%20&#1086;&#1090;%2028.04.2021%20&#1054;&#1054;&#1054;%20&#1057;&#1052;&#1059;-13%20(&#1050;&#1055;%20&#1082;%20&#1079;&#1072;&#1082;&#1091;&#1087;&#1082;&#1077;&#8470;0865200000321000592)%20&#1054;&#1054;&#1054;%20&#1058;&#1044;%20&#1040;&#1053;&#1052;&#1040;&#1050;&#1057;.xlsx" TargetMode="External"/><Relationship Id="rId14" Type="http://schemas.openxmlformats.org/officeDocument/2006/relationships/hyperlink" Target="https://zakupki.kontur.ru/0132300007521000265?searchHash=41e48d7b00b273fe4aad1eb6e13b4ac4b8670526" TargetMode="External"/><Relationship Id="rId22" Type="http://schemas.openxmlformats.org/officeDocument/2006/relationships/hyperlink" Target="https://zakupki.kontur.ru/0187300008521000066?searchHash=28d0d8196012811bc33c41ebbcb55ab8efe996d2" TargetMode="External"/><Relationship Id="rId27" Type="http://schemas.openxmlformats.org/officeDocument/2006/relationships/hyperlink" Target="EXCEL\&#8470;628&#1045;%20&#1086;&#1090;%2029.04.2021%20&#1057;&#1072;&#1085;&#1085;&#1080;&#1082;&#1086;&#1074;&#1072;%20&#1047;&#1072;&#1084;&#1080;&#1088;&#1072;%20&#1052;&#1080;&#1079;&#1088;&#1086;&#1092;&#1086;&#1074;&#1085;&#1072;%20(&#1050;&#1055;%20&#1082;%20&#1079;&#1072;&#1082;&#1091;&#1087;&#1082;&#1077;&#8470;0813500000121004717)%20&#1054;&#1054;&#1054;%20&#1058;&#1044;%20&#1040;&#1053;&#1052;&#1040;&#1050;&#1057;.xlsx" TargetMode="External"/><Relationship Id="rId30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R15"/>
  <sheetViews>
    <sheetView tabSelected="1" workbookViewId="0">
      <selection activeCell="A2" sqref="A2:XFD15"/>
    </sheetView>
  </sheetViews>
  <sheetFormatPr defaultRowHeight="15" x14ac:dyDescent="0.25"/>
  <cols>
    <col min="1" max="1" width="9.140625" style="1"/>
    <col min="2" max="2" width="12.5703125" style="17" customWidth="1"/>
    <col min="3" max="3" width="13.140625" style="3" customWidth="1"/>
    <col min="4" max="4" width="13.5703125" style="6" customWidth="1"/>
    <col min="5" max="5" width="43.5703125" style="4" customWidth="1"/>
    <col min="6" max="6" width="32.85546875" style="19" customWidth="1"/>
    <col min="7" max="7" width="19.7109375" style="5" customWidth="1"/>
    <col min="8" max="8" width="18.5703125" style="1" customWidth="1"/>
    <col min="9" max="9" width="5.42578125" style="1" customWidth="1"/>
    <col min="10" max="10" width="14.28515625" style="1" customWidth="1"/>
    <col min="11" max="11" width="26" style="19" customWidth="1"/>
    <col min="12" max="12" width="23.7109375" style="22" customWidth="1"/>
    <col min="13" max="13" width="11.42578125" style="1" customWidth="1"/>
    <col min="14" max="14" width="12.5703125" style="1" bestFit="1" customWidth="1"/>
    <col min="15" max="15" width="16.85546875" style="2" customWidth="1"/>
    <col min="16" max="16" width="14.5703125" style="7" customWidth="1"/>
    <col min="17" max="16384" width="9.140625" style="1"/>
  </cols>
  <sheetData>
    <row r="1" spans="1:18" ht="60" x14ac:dyDescent="0.25">
      <c r="A1" s="9" t="s">
        <v>1</v>
      </c>
      <c r="B1" s="15" t="s">
        <v>2</v>
      </c>
      <c r="C1" s="10" t="s">
        <v>3</v>
      </c>
      <c r="D1" s="8" t="s">
        <v>4</v>
      </c>
      <c r="E1" s="11" t="s">
        <v>0</v>
      </c>
      <c r="F1" s="18" t="s">
        <v>5</v>
      </c>
      <c r="G1" s="11" t="s">
        <v>6</v>
      </c>
      <c r="H1" s="9" t="s">
        <v>7</v>
      </c>
      <c r="I1" s="9" t="s">
        <v>8</v>
      </c>
      <c r="J1" s="9" t="s">
        <v>9</v>
      </c>
      <c r="K1" s="20" t="s">
        <v>10</v>
      </c>
      <c r="L1" s="21" t="s">
        <v>16</v>
      </c>
      <c r="M1" s="9" t="s">
        <v>11</v>
      </c>
      <c r="N1" s="9" t="s">
        <v>12</v>
      </c>
      <c r="O1" s="9" t="s">
        <v>13</v>
      </c>
      <c r="P1" s="12" t="s">
        <v>17</v>
      </c>
      <c r="Q1" s="9" t="s">
        <v>15</v>
      </c>
    </row>
    <row r="2" spans="1:18" x14ac:dyDescent="0.25">
      <c r="A2" s="23">
        <v>615</v>
      </c>
      <c r="B2" s="16" t="s">
        <v>18</v>
      </c>
      <c r="C2" s="24" t="s">
        <v>19</v>
      </c>
      <c r="D2" s="25" t="s">
        <v>20</v>
      </c>
      <c r="E2" s="26" t="s">
        <v>21</v>
      </c>
      <c r="F2" s="27" t="s">
        <v>22</v>
      </c>
      <c r="G2" s="13" t="s">
        <v>23</v>
      </c>
      <c r="H2" s="23" t="s">
        <v>14</v>
      </c>
      <c r="I2" s="23"/>
      <c r="J2" s="23"/>
      <c r="K2" s="28"/>
      <c r="L2" s="23"/>
      <c r="M2" s="23"/>
      <c r="N2" s="29">
        <v>1828300</v>
      </c>
      <c r="O2" s="14" t="s">
        <v>24</v>
      </c>
      <c r="P2" s="14"/>
      <c r="Q2" s="23" t="s">
        <v>25</v>
      </c>
      <c r="R2" s="23">
        <v>1</v>
      </c>
    </row>
    <row r="3" spans="1:18" x14ac:dyDescent="0.25">
      <c r="A3" s="23">
        <v>616</v>
      </c>
      <c r="B3" s="16" t="s">
        <v>26</v>
      </c>
      <c r="C3" s="24" t="s">
        <v>19</v>
      </c>
      <c r="D3" s="25" t="s">
        <v>27</v>
      </c>
      <c r="E3" s="26" t="s">
        <v>28</v>
      </c>
      <c r="F3" s="27" t="s">
        <v>29</v>
      </c>
      <c r="G3" s="13" t="s">
        <v>30</v>
      </c>
      <c r="H3" s="23" t="s">
        <v>14</v>
      </c>
      <c r="I3" s="23"/>
      <c r="J3" s="23" t="s">
        <v>31</v>
      </c>
      <c r="K3" s="28"/>
      <c r="L3" s="23"/>
      <c r="M3" s="23"/>
      <c r="N3" s="29">
        <v>1666228.5</v>
      </c>
      <c r="O3" s="14" t="s">
        <v>32</v>
      </c>
      <c r="P3" s="14"/>
      <c r="Q3" s="23" t="s">
        <v>33</v>
      </c>
      <c r="R3" s="23">
        <v>3</v>
      </c>
    </row>
    <row r="4" spans="1:18" x14ac:dyDescent="0.25">
      <c r="A4" s="23">
        <v>617</v>
      </c>
      <c r="B4" s="16" t="s">
        <v>34</v>
      </c>
      <c r="C4" s="24" t="s">
        <v>19</v>
      </c>
      <c r="D4" s="25" t="s">
        <v>35</v>
      </c>
      <c r="E4" s="26" t="s">
        <v>36</v>
      </c>
      <c r="F4" s="27" t="s">
        <v>37</v>
      </c>
      <c r="G4" s="13" t="s">
        <v>38</v>
      </c>
      <c r="H4" s="23" t="s">
        <v>14</v>
      </c>
      <c r="I4" s="23"/>
      <c r="J4" s="23"/>
      <c r="K4" s="28"/>
      <c r="L4" s="23"/>
      <c r="M4" s="23"/>
      <c r="N4" s="29">
        <v>850000</v>
      </c>
      <c r="O4" s="14" t="s">
        <v>39</v>
      </c>
      <c r="P4" s="14"/>
      <c r="Q4" s="23" t="s">
        <v>40</v>
      </c>
      <c r="R4" s="23">
        <v>1</v>
      </c>
    </row>
    <row r="5" spans="1:18" x14ac:dyDescent="0.25">
      <c r="A5" s="23">
        <v>618</v>
      </c>
      <c r="B5" s="16" t="s">
        <v>41</v>
      </c>
      <c r="C5" s="24" t="s">
        <v>19</v>
      </c>
      <c r="D5" s="25" t="s">
        <v>42</v>
      </c>
      <c r="E5" s="26" t="s">
        <v>43</v>
      </c>
      <c r="F5" s="27" t="s">
        <v>44</v>
      </c>
      <c r="G5" s="13" t="s">
        <v>45</v>
      </c>
      <c r="H5" s="23" t="s">
        <v>14</v>
      </c>
      <c r="I5" s="23"/>
      <c r="J5" s="23"/>
      <c r="K5" s="28"/>
      <c r="L5" s="23"/>
      <c r="M5" s="23"/>
      <c r="N5" s="29">
        <v>46400</v>
      </c>
      <c r="O5" s="14" t="s">
        <v>46</v>
      </c>
      <c r="P5" s="14"/>
      <c r="Q5" s="23" t="s">
        <v>47</v>
      </c>
      <c r="R5" s="23">
        <v>1</v>
      </c>
    </row>
    <row r="6" spans="1:18" x14ac:dyDescent="0.25">
      <c r="A6" s="23">
        <v>619</v>
      </c>
      <c r="B6" s="16" t="s">
        <v>48</v>
      </c>
      <c r="C6" s="24" t="s">
        <v>19</v>
      </c>
      <c r="D6" s="25" t="s">
        <v>49</v>
      </c>
      <c r="E6" s="26" t="s">
        <v>50</v>
      </c>
      <c r="F6" s="27" t="s">
        <v>51</v>
      </c>
      <c r="G6" s="13" t="s">
        <v>52</v>
      </c>
      <c r="H6" s="23" t="s">
        <v>14</v>
      </c>
      <c r="I6" s="23"/>
      <c r="J6" s="23"/>
      <c r="K6" s="28"/>
      <c r="L6" s="23"/>
      <c r="M6" s="23"/>
      <c r="N6" s="29">
        <v>505800</v>
      </c>
      <c r="O6" s="14" t="s">
        <v>53</v>
      </c>
      <c r="P6" s="14"/>
      <c r="Q6" s="23" t="s">
        <v>54</v>
      </c>
      <c r="R6" s="23">
        <v>1</v>
      </c>
    </row>
    <row r="7" spans="1:18" x14ac:dyDescent="0.25">
      <c r="A7" s="23">
        <v>620</v>
      </c>
      <c r="B7" s="16" t="s">
        <v>55</v>
      </c>
      <c r="C7" s="24" t="s">
        <v>19</v>
      </c>
      <c r="D7" s="25" t="s">
        <v>56</v>
      </c>
      <c r="E7" s="26" t="s">
        <v>57</v>
      </c>
      <c r="F7" s="27" t="s">
        <v>58</v>
      </c>
      <c r="G7" s="13" t="s">
        <v>59</v>
      </c>
      <c r="H7" s="23" t="s">
        <v>14</v>
      </c>
      <c r="I7" s="23"/>
      <c r="J7" s="23"/>
      <c r="K7" s="28"/>
      <c r="L7" s="23"/>
      <c r="M7" s="23"/>
      <c r="N7" s="29">
        <v>4315210</v>
      </c>
      <c r="O7" s="14" t="s">
        <v>60</v>
      </c>
      <c r="P7" s="14"/>
      <c r="Q7" s="23" t="s">
        <v>61</v>
      </c>
      <c r="R7" s="23">
        <v>1</v>
      </c>
    </row>
    <row r="8" spans="1:18" x14ac:dyDescent="0.25">
      <c r="A8" s="23">
        <v>621</v>
      </c>
      <c r="B8" s="16" t="s">
        <v>62</v>
      </c>
      <c r="C8" s="24" t="s">
        <v>19</v>
      </c>
      <c r="D8" s="25" t="s">
        <v>63</v>
      </c>
      <c r="E8" s="26" t="s">
        <v>64</v>
      </c>
      <c r="F8" s="27" t="s">
        <v>65</v>
      </c>
      <c r="G8" s="13" t="s">
        <v>66</v>
      </c>
      <c r="H8" s="23" t="s">
        <v>14</v>
      </c>
      <c r="I8" s="23"/>
      <c r="J8" s="23" t="s">
        <v>67</v>
      </c>
      <c r="K8" s="28"/>
      <c r="L8" s="23"/>
      <c r="M8" s="23"/>
      <c r="N8" s="29">
        <v>71250</v>
      </c>
      <c r="O8" s="14" t="s">
        <v>68</v>
      </c>
      <c r="P8" s="14"/>
      <c r="Q8" s="23" t="s">
        <v>69</v>
      </c>
      <c r="R8" s="23">
        <v>2</v>
      </c>
    </row>
    <row r="9" spans="1:18" x14ac:dyDescent="0.25">
      <c r="A9" s="23">
        <v>622</v>
      </c>
      <c r="B9" s="16" t="s">
        <v>70</v>
      </c>
      <c r="C9" s="24" t="s">
        <v>71</v>
      </c>
      <c r="D9" s="25" t="s">
        <v>72</v>
      </c>
      <c r="E9" s="26" t="s">
        <v>73</v>
      </c>
      <c r="F9" s="27" t="s">
        <v>74</v>
      </c>
      <c r="G9" s="13" t="s">
        <v>75</v>
      </c>
      <c r="H9" s="23" t="s">
        <v>14</v>
      </c>
      <c r="I9" s="23"/>
      <c r="J9" s="23"/>
      <c r="K9" s="28"/>
      <c r="L9" s="23"/>
      <c r="M9" s="23"/>
      <c r="N9" s="29">
        <v>320800</v>
      </c>
      <c r="O9" s="14" t="s">
        <v>76</v>
      </c>
      <c r="P9" s="14"/>
      <c r="Q9" s="23" t="s">
        <v>77</v>
      </c>
      <c r="R9" s="23">
        <v>1</v>
      </c>
    </row>
    <row r="10" spans="1:18" x14ac:dyDescent="0.25">
      <c r="A10" s="23">
        <v>623</v>
      </c>
      <c r="B10" s="16" t="s">
        <v>78</v>
      </c>
      <c r="C10" s="24" t="s">
        <v>71</v>
      </c>
      <c r="D10" s="25" t="s">
        <v>79</v>
      </c>
      <c r="E10" s="26" t="s">
        <v>80</v>
      </c>
      <c r="F10" s="27" t="s">
        <v>81</v>
      </c>
      <c r="G10" s="13" t="s">
        <v>82</v>
      </c>
      <c r="H10" s="23" t="s">
        <v>14</v>
      </c>
      <c r="I10" s="23"/>
      <c r="J10" s="23"/>
      <c r="K10" s="28"/>
      <c r="L10" s="23"/>
      <c r="M10" s="23"/>
      <c r="N10" s="29">
        <v>98800</v>
      </c>
      <c r="O10" s="14" t="s">
        <v>83</v>
      </c>
      <c r="P10" s="14"/>
      <c r="Q10" s="23" t="s">
        <v>84</v>
      </c>
      <c r="R10" s="23">
        <v>1</v>
      </c>
    </row>
    <row r="11" spans="1:18" x14ac:dyDescent="0.25">
      <c r="A11" s="23">
        <v>624</v>
      </c>
      <c r="B11" s="16" t="s">
        <v>85</v>
      </c>
      <c r="C11" s="24" t="s">
        <v>71</v>
      </c>
      <c r="D11" s="25" t="s">
        <v>86</v>
      </c>
      <c r="E11" s="26" t="s">
        <v>87</v>
      </c>
      <c r="F11" s="27" t="s">
        <v>88</v>
      </c>
      <c r="G11" s="13" t="s">
        <v>89</v>
      </c>
      <c r="H11" s="23" t="s">
        <v>14</v>
      </c>
      <c r="I11" s="23"/>
      <c r="J11" s="23"/>
      <c r="K11" s="28" t="s">
        <v>90</v>
      </c>
      <c r="L11" s="23"/>
      <c r="M11" s="23"/>
      <c r="N11" s="29">
        <v>4621853</v>
      </c>
      <c r="O11" s="14" t="s">
        <v>91</v>
      </c>
      <c r="P11" s="14"/>
      <c r="Q11" s="23" t="s">
        <v>92</v>
      </c>
      <c r="R11" s="23">
        <v>5</v>
      </c>
    </row>
    <row r="12" spans="1:18" x14ac:dyDescent="0.25">
      <c r="A12" s="23">
        <v>625</v>
      </c>
      <c r="B12" s="16" t="s">
        <v>93</v>
      </c>
      <c r="C12" s="24" t="s">
        <v>71</v>
      </c>
      <c r="D12" s="25" t="s">
        <v>94</v>
      </c>
      <c r="E12" s="26" t="s">
        <v>95</v>
      </c>
      <c r="F12" s="27" t="s">
        <v>96</v>
      </c>
      <c r="G12" s="13" t="s">
        <v>97</v>
      </c>
      <c r="H12" s="23" t="s">
        <v>14</v>
      </c>
      <c r="I12" s="23"/>
      <c r="J12" s="23"/>
      <c r="K12" s="28"/>
      <c r="L12" s="23"/>
      <c r="M12" s="23"/>
      <c r="N12" s="29">
        <v>10350</v>
      </c>
      <c r="O12" s="14" t="s">
        <v>98</v>
      </c>
      <c r="P12" s="14"/>
      <c r="Q12" s="23" t="s">
        <v>99</v>
      </c>
      <c r="R12" s="23">
        <v>1</v>
      </c>
    </row>
    <row r="13" spans="1:18" x14ac:dyDescent="0.25">
      <c r="A13" s="23">
        <v>626</v>
      </c>
      <c r="B13" s="16" t="s">
        <v>100</v>
      </c>
      <c r="C13" s="24" t="s">
        <v>71</v>
      </c>
      <c r="D13" s="25" t="s">
        <v>101</v>
      </c>
      <c r="E13" s="26" t="s">
        <v>102</v>
      </c>
      <c r="F13" s="27" t="s">
        <v>103</v>
      </c>
      <c r="G13" s="13" t="s">
        <v>104</v>
      </c>
      <c r="H13" s="23" t="s">
        <v>14</v>
      </c>
      <c r="I13" s="23"/>
      <c r="J13" s="23"/>
      <c r="K13" s="28"/>
      <c r="L13" s="23"/>
      <c r="M13" s="23"/>
      <c r="N13" s="29">
        <v>27430</v>
      </c>
      <c r="O13" s="14" t="s">
        <v>105</v>
      </c>
      <c r="P13" s="14"/>
      <c r="Q13" s="23" t="s">
        <v>106</v>
      </c>
      <c r="R13" s="23">
        <v>1</v>
      </c>
    </row>
    <row r="14" spans="1:18" x14ac:dyDescent="0.25">
      <c r="A14" s="23">
        <v>627</v>
      </c>
      <c r="B14" s="16" t="s">
        <v>107</v>
      </c>
      <c r="C14" s="24" t="s">
        <v>71</v>
      </c>
      <c r="D14" s="25" t="s">
        <v>108</v>
      </c>
      <c r="E14" s="26" t="s">
        <v>109</v>
      </c>
      <c r="F14" s="27" t="s">
        <v>110</v>
      </c>
      <c r="G14" s="13" t="s">
        <v>111</v>
      </c>
      <c r="H14" s="23" t="s">
        <v>14</v>
      </c>
      <c r="I14" s="23"/>
      <c r="J14" s="23"/>
      <c r="K14" s="28"/>
      <c r="L14" s="23"/>
      <c r="M14" s="23"/>
      <c r="N14" s="29">
        <v>271200</v>
      </c>
      <c r="O14" s="14" t="s">
        <v>112</v>
      </c>
      <c r="P14" s="14"/>
      <c r="Q14" s="23" t="s">
        <v>113</v>
      </c>
      <c r="R14" s="23">
        <v>1</v>
      </c>
    </row>
    <row r="15" spans="1:18" x14ac:dyDescent="0.25">
      <c r="A15" s="23">
        <v>628</v>
      </c>
      <c r="B15" s="16" t="s">
        <v>114</v>
      </c>
      <c r="C15" s="24" t="s">
        <v>71</v>
      </c>
      <c r="D15" s="25" t="s">
        <v>115</v>
      </c>
      <c r="E15" s="26" t="s">
        <v>116</v>
      </c>
      <c r="F15" s="27" t="s">
        <v>117</v>
      </c>
      <c r="G15" s="13" t="s">
        <v>118</v>
      </c>
      <c r="H15" s="23" t="s">
        <v>14</v>
      </c>
      <c r="I15" s="23"/>
      <c r="J15" s="23"/>
      <c r="K15" s="28"/>
      <c r="L15" s="23"/>
      <c r="M15" s="23"/>
      <c r="N15" s="29">
        <v>121280</v>
      </c>
      <c r="O15" s="14" t="s">
        <v>119</v>
      </c>
      <c r="P15" s="14"/>
      <c r="Q15" s="23" t="s">
        <v>120</v>
      </c>
      <c r="R15" s="23">
        <v>1</v>
      </c>
    </row>
  </sheetData>
  <autoFilter ref="P1"/>
  <dataValidations count="4">
    <dataValidation type="list" allowBlank="1" showInputMessage="1" showErrorMessage="1" sqref="I2:I15">
      <formula1>"Важно, Нейтрально, Очень важно,  ,"</formula1>
    </dataValidation>
    <dataValidation type="list" allowBlank="1" showInputMessage="1" showErrorMessage="1" sqref="H2:H15">
      <formula1>"КП сформировано, КП выслано, Был прозвон, Требуется звонок,  ,"</formula1>
    </dataValidation>
    <dataValidation type="list" allowBlank="1" showInputMessage="1" showErrorMessage="1" sqref="J2:J15">
      <formula1>"Гуц, Мандрыкин, Горячев, Зелизко, Штыбко, "</formula1>
    </dataValidation>
    <dataValidation type="list" allowBlank="1" showInputMessage="1" showErrorMessage="1" sqref="M2:M15">
      <formula1>"Не требуется, В работе, Купили у нас, Уже купили,  "</formula1>
    </dataValidation>
  </dataValidations>
  <hyperlinks>
    <hyperlink ref="B2" r:id="rId1"/>
    <hyperlink ref="E2" r:id="rId2"/>
    <hyperlink ref="B3" r:id="rId3"/>
    <hyperlink ref="E3" r:id="rId4"/>
    <hyperlink ref="B4" r:id="rId5"/>
    <hyperlink ref="E4" r:id="rId6"/>
    <hyperlink ref="B5" r:id="rId7"/>
    <hyperlink ref="E5" r:id="rId8"/>
    <hyperlink ref="B6" r:id="rId9"/>
    <hyperlink ref="E6" r:id="rId10"/>
    <hyperlink ref="B7" r:id="rId11"/>
    <hyperlink ref="E7" r:id="rId12"/>
    <hyperlink ref="B8" r:id="rId13"/>
    <hyperlink ref="E8" r:id="rId14"/>
    <hyperlink ref="B9" r:id="rId15"/>
    <hyperlink ref="E9" r:id="rId16"/>
    <hyperlink ref="B10" r:id="rId17"/>
    <hyperlink ref="E10" r:id="rId18"/>
    <hyperlink ref="B11" r:id="rId19"/>
    <hyperlink ref="E11" r:id="rId20"/>
    <hyperlink ref="B12" r:id="rId21"/>
    <hyperlink ref="E12" r:id="rId22"/>
    <hyperlink ref="B13" r:id="rId23"/>
    <hyperlink ref="E13" r:id="rId24"/>
    <hyperlink ref="B14" r:id="rId25"/>
    <hyperlink ref="E14" r:id="rId26"/>
    <hyperlink ref="B15" r:id="rId27"/>
    <hyperlink ref="E15" r:id="rId28"/>
  </hyperlinks>
  <pageMargins left="0.7" right="0.7" top="0.75" bottom="0.75" header="0.3" footer="0.3"/>
  <pageSetup paperSize="0" orientation="portrait" r:id="rId29"/>
  <drawing r:id="rId30"/>
  <legacyDrawing r:id="rId3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32" name="Button 3">
              <controlPr defaultSize="0" print="0" autoFill="0" autoPict="0" macro="[0]!InsertString">
                <anchor moveWithCells="1" sizeWithCells="1">
                  <from>
                    <xdr:col>4</xdr:col>
                    <xdr:colOff>1962150</xdr:colOff>
                    <xdr:row>0</xdr:row>
                    <xdr:rowOff>114300</xdr:rowOff>
                  </from>
                  <to>
                    <xdr:col>5</xdr:col>
                    <xdr:colOff>542925</xdr:colOff>
                    <xdr:row>0</xdr:row>
                    <xdr:rowOff>695325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ЖурналИсхПисем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</dc:creator>
  <cp:lastModifiedBy>Dom</cp:lastModifiedBy>
  <cp:lastPrinted>2020-08-14T05:53:23Z</cp:lastPrinted>
  <dcterms:created xsi:type="dcterms:W3CDTF">2020-04-07T07:09:38Z</dcterms:created>
  <dcterms:modified xsi:type="dcterms:W3CDTF">2021-04-29T14:08:38Z</dcterms:modified>
</cp:coreProperties>
</file>